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umptions" sheetId="1" state="visible" r:id="rId3"/>
    <sheet name="MVP" sheetId="2" state="visible" r:id="rId4"/>
    <sheet name="First 6 months" sheetId="3" state="visible" r:id="rId5"/>
    <sheet name="Scenario_Comparison" sheetId="4" state="visible" r:id="rId6"/>
    <sheet name="Phased_Rollout" sheetId="5" state="visible" r:id="rId7"/>
    <sheet name="Cost_Monitor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<sst xmlns="http://schemas.openxmlformats.org/spreadsheetml/2006/main" count="196" uniqueCount="153">
  <si>
    <t xml:space="preserve">RedDust MVP - Cost Optimization Analysis</t>
  </si>
  <si>
    <t xml:space="preserve">STAFFING ASSUMPTIONS</t>
  </si>
  <si>
    <t xml:space="preserve">Parameter</t>
  </si>
  <si>
    <t xml:space="preserve">Original</t>
  </si>
  <si>
    <t xml:space="preserve">Optimized</t>
  </si>
  <si>
    <t xml:space="preserve">Notes</t>
  </si>
  <si>
    <t xml:space="preserve">Senior Tech Lead - Hourly Rate</t>
  </si>
  <si>
    <t xml:space="preserve">Offshore talent pool optimization</t>
  </si>
  <si>
    <t xml:space="preserve">Mid Level Dev - Hourly Rate</t>
  </si>
  <si>
    <t xml:space="preserve">Fair market rate, keep stable</t>
  </si>
  <si>
    <t xml:space="preserve">AI/ML Dev - Hourly Rate</t>
  </si>
  <si>
    <t xml:space="preserve">QA Engineer - Hourly Rate</t>
  </si>
  <si>
    <t xml:space="preserve">Tool-heavy + automation focus</t>
  </si>
  <si>
    <t xml:space="preserve">Marketer - Hourly Rate</t>
  </si>
  <si>
    <t xml:space="preserve">Lean/organic focus</t>
  </si>
  <si>
    <t xml:space="preserve">Senior Tech Lead - FTE</t>
  </si>
  <si>
    <t xml:space="preserve">Consistent</t>
  </si>
  <si>
    <t xml:space="preserve">Mid Level Full Stack - FTE</t>
  </si>
  <si>
    <t xml:space="preserve">Reduce to lean MVP team</t>
  </si>
  <si>
    <t xml:space="preserve">AI/ML Dev - FTE</t>
  </si>
  <si>
    <t xml:space="preserve">Optimize for batch tasks</t>
  </si>
  <si>
    <t xml:space="preserve">QA Engineer - FTE</t>
  </si>
  <si>
    <t xml:space="preserve">Automation-first, part-time</t>
  </si>
  <si>
    <t xml:space="preserve">Marketer - FTE</t>
  </si>
  <si>
    <t xml:space="preserve">Lean organic + content</t>
  </si>
  <si>
    <t xml:space="preserve">DISCOUNT ASSUMPTIONS</t>
  </si>
  <si>
    <t xml:space="preserve">Scenario</t>
  </si>
  <si>
    <t xml:space="preserve">Anodiam Discount %</t>
  </si>
  <si>
    <t xml:space="preserve">Cloud Credits</t>
  </si>
  <si>
    <t xml:space="preserve">Total Discount</t>
  </si>
  <si>
    <t xml:space="preserve">Best Case (Optimistic)</t>
  </si>
  <si>
    <t xml:space="preserve">Max discount + credits</t>
  </si>
  <si>
    <t xml:space="preserve">Base Case (Realistic)</t>
  </si>
  <si>
    <t xml:space="preserve">Conservative estimate</t>
  </si>
  <si>
    <t xml:space="preserve">Worst Case (Conservative)</t>
  </si>
  <si>
    <t xml:space="preserve">No discounts (contingency)</t>
  </si>
  <si>
    <t xml:space="preserve">INFRASTRUCTURE ASSUMPTIONS</t>
  </si>
  <si>
    <t xml:space="preserve">Service</t>
  </si>
  <si>
    <t xml:space="preserve">LLM Tokens (Claude)</t>
  </si>
  <si>
    <t xml:space="preserve">Sonnet + Haiku + batch processing</t>
  </si>
  <si>
    <t xml:space="preserve">Audio/Speech APIs</t>
  </si>
  <si>
    <t xml:space="preserve">Deepgram optimization + monitoring</t>
  </si>
  <si>
    <t xml:space="preserve">YouTube Music API</t>
  </si>
  <si>
    <t xml:space="preserve">Caching + official embeds</t>
  </si>
  <si>
    <t xml:space="preserve">Cloud Infrastructure</t>
  </si>
  <si>
    <t xml:space="preserve">Serverless (Cloud Run/Lambda)</t>
  </si>
  <si>
    <t xml:space="preserve">Marketing &amp; User Acq</t>
  </si>
  <si>
    <t xml:space="preserve">Organic-first + low-cost channels</t>
  </si>
  <si>
    <t xml:space="preserve">Previous Optimized</t>
  </si>
  <si>
    <t xml:space="preserve">New Cheaper Target</t>
  </si>
  <si>
    <t xml:space="preserve">Key Changes &amp; Rationale (June 2026)</t>
  </si>
  <si>
    <t xml:space="preserve">LLM Tokens</t>
  </si>
  <si>
    <t xml:space="preserve">$300–$400</t>
  </si>
  <si>
    <t xml:space="preserve">Switch primary usage to Grok (very cheap: ~$0.20–$0.50/M tokens), Gemini Flash ($0.50–$1.25/M), or Claude Haiku only for high-quality needs. Heavy use of batch processing, prompt caching (up to 50–90% savings), and routing cheaper models for simple tasks (mood analysis, basic recommendations).</t>
  </si>
  <si>
    <t xml:space="preserve">$350–$450</t>
  </si>
  <si>
    <t xml:space="preserve">Use Deepgram (strong value at ~$0.004–$0.008/min) or cheaper alternatives like AssemblyAI / Gladia / OpenAI Whisper-based options. Optimize by limiting mood detection frequency and using batch processing.</t>
  </si>
  <si>
    <t xml:space="preserve">YouTube Music API / Integration</t>
  </si>
  <si>
    <t xml:space="preserve">$100–$150</t>
  </si>
  <si>
    <t xml:space="preserve">Core YouTube Data API is mostly free (quota-based). This budget now covers only proxy/streaming buffers + caching. Consider supplementing with free/open embeds or cheaper music APIs where licensing allows.</t>
  </si>
  <si>
    <t xml:space="preserve">$150–$250</t>
  </si>
  <si>
    <t xml:space="preserve">Full serverless (AWS Lambda / GCP Cloud Run) + heavy use of startup credits. Spot instances for any GPU needs. Minimal always-on resources for 500 beta users.</t>
  </si>
  <si>
    <t xml:space="preserve">Marketing &amp; User Acquisition</t>
  </si>
  <si>
    <t xml:space="preserve">$200–$300</t>
  </si>
  <si>
    <t xml:space="preserve">Strong organic-first focus: Reddit, Product Hunt, AI/music communities, content (TikTok/Instagram reels), referral programs. Minimal paid testing only on high-ROI channels.</t>
  </si>
  <si>
    <t xml:space="preserve">Monthly Cost (Au$)</t>
  </si>
  <si>
    <t xml:space="preserve">$80 – $120</t>
  </si>
  <si>
    <t xml:space="preserve">Grok Fast / Gemini Flash + heavy caching</t>
  </si>
  <si>
    <t xml:space="preserve">$80 – $150</t>
  </si>
  <si>
    <t xml:space="preserve">Much lower volume</t>
  </si>
  <si>
    <t xml:space="preserve">YouTube Music Integration</t>
  </si>
  <si>
    <t xml:space="preserve">Still fully free</t>
  </si>
  <si>
    <t xml:space="preserve">Serverless, even lower usage</t>
  </si>
  <si>
    <t xml:space="preserve">$100 – $200</t>
  </si>
  <si>
    <t xml:space="preserve">Lower ad testing budget</t>
  </si>
  <si>
    <t xml:space="preserve">Total Monthly Infrastructure</t>
  </si>
  <si>
    <t xml:space="preserve">$340 – $620</t>
  </si>
  <si>
    <t xml:space="preserve">Very lean</t>
  </si>
  <si>
    <t xml:space="preserve">DETAILED COST BREAKDOWN - 3 SCENARIOS</t>
  </si>
  <si>
    <t xml:space="preserve">SCENARIO 1: BEST CASE (Aggressive Optimization)</t>
  </si>
  <si>
    <t xml:space="preserve">Cost Category</t>
  </si>
  <si>
    <t xml:space="preserve">Unit</t>
  </si>
  <si>
    <t xml:space="preserve">FTE</t>
  </si>
  <si>
    <t xml:space="preserve">Au$/hour</t>
  </si>
  <si>
    <t xml:space="preserve">Total</t>
  </si>
  <si>
    <t xml:space="preserve">Senior Full Stack </t>
  </si>
  <si>
    <t xml:space="preserve">hours/month</t>
  </si>
  <si>
    <t xml:space="preserve">AI/ML Dev</t>
  </si>
  <si>
    <t xml:space="preserve">Marketer</t>
  </si>
  <si>
    <t xml:space="preserve">Subtotal - Staffing (Gross)</t>
  </si>
  <si>
    <t xml:space="preserve">INFRASTRUCTURE</t>
  </si>
  <si>
    <t xml:space="preserve">LLM Tokens (Grok/Gemini)</t>
  </si>
  <si>
    <t xml:space="preserve">Audio/Speech APIs (Deepgram)</t>
  </si>
  <si>
    <t xml:space="preserve">YouTube API (Cached)</t>
  </si>
  <si>
    <t xml:space="preserve">Cloud Infrastructure (Serverless)</t>
  </si>
  <si>
    <t xml:space="preserve">Subtotal - Infrastructure</t>
  </si>
  <si>
    <t xml:space="preserve">TOTAL MONTHLY BURN</t>
  </si>
  <si>
    <t xml:space="preserve">6-MONTH TOTAL INVESTMENT</t>
  </si>
  <si>
    <t xml:space="preserve">SCENARIO COMPARISON - 3 OPTIONS</t>
  </si>
  <si>
    <t xml:space="preserve">Metric</t>
  </si>
  <si>
    <t xml:space="preserve">Best Case</t>
  </si>
  <si>
    <t xml:space="preserve">Base Case</t>
  </si>
  <si>
    <t xml:space="preserve">Worst Case</t>
  </si>
  <si>
    <t xml:space="preserve">Monthly Staffing (Gross)</t>
  </si>
  <si>
    <t xml:space="preserve">Staffing Cost (After Discount)</t>
  </si>
  <si>
    <t xml:space="preserve">Infrastructure Gross</t>
  </si>
  <si>
    <t xml:space="preserve">Cloud Credits %</t>
  </si>
  <si>
    <t xml:space="preserve">Infrastructure (After Credits)</t>
  </si>
  <si>
    <t xml:space="preserve">6-Month Investment</t>
  </si>
  <si>
    <t xml:space="preserve">Cost per User/Month</t>
  </si>
  <si>
    <t xml:space="preserve">Savings vs Original</t>
  </si>
  <si>
    <t xml:space="preserve">% Improvement</t>
  </si>
  <si>
    <t xml:space="preserve">PHASED ROLLOUT STRATEGY - VALIDATION APPROACH</t>
  </si>
  <si>
    <t xml:space="preserve">Phase</t>
  </si>
  <si>
    <t xml:space="preserve">Duration</t>
  </si>
  <si>
    <t xml:space="preserve">Beta Users</t>
  </si>
  <si>
    <t xml:space="preserve">Monthly Burn</t>
  </si>
  <si>
    <t xml:space="preserve">6-Month Total</t>
  </si>
  <si>
    <t xml:space="preserve">Key Milestone</t>
  </si>
  <si>
    <t xml:space="preserve">Phase 1: Validation</t>
  </si>
  <si>
    <t xml:space="preserve">2 months</t>
  </si>
  <si>
    <t xml:space="preserve">Validate core assumptions</t>
  </si>
  <si>
    <t xml:space="preserve">Phase 2: Growth</t>
  </si>
  <si>
    <t xml:space="preserve">Scale to 200 users</t>
  </si>
  <si>
    <t xml:space="preserve">Phase 3: Ramp</t>
  </si>
  <si>
    <t xml:space="preserve">Full MVP target</t>
  </si>
  <si>
    <t xml:space="preserve">TOTAL 6-MONTH INVESTMENT (Phased)</t>
  </si>
  <si>
    <t xml:space="preserve">VALIDATION METRICS TO TRACK</t>
  </si>
  <si>
    <t xml:space="preserve">• Cost per active user (track weekly)</t>
  </si>
  <si>
    <t xml:space="preserve">• LLM token spend per session (optimize prompts)</t>
  </si>
  <si>
    <t xml:space="preserve">• Cloud infrastructure cost (monitor scaling)</t>
  </si>
  <si>
    <t xml:space="preserve">• User acquisition cost (determine channel ROI)</t>
  </si>
  <si>
    <t xml:space="preserve">• API call distribution (identify optimization targets)</t>
  </si>
  <si>
    <t xml:space="preserve">• Server latency &amp; cost correlation</t>
  </si>
  <si>
    <t xml:space="preserve">COST MONITORING &amp; OPTIMIZATION CHECKLIST</t>
  </si>
  <si>
    <t xml:space="preserve">WEEK 1-2: SETUP</t>
  </si>
  <si>
    <t xml:space="preserve">☐ Set up cost tracking in Cloud Console (AWS/GCP)</t>
  </si>
  <si>
    <t xml:space="preserve">☐ Configure billing alerts (threshold: 150% of budget)</t>
  </si>
  <si>
    <t xml:space="preserve">☐ Create dashboard: spend by service/team</t>
  </si>
  <si>
    <t xml:space="preserve">☐ Establish per-user cost baseline</t>
  </si>
  <si>
    <t xml:space="preserve">☐ Document API quota limits &amp; scaling triggers</t>
  </si>
  <si>
    <t xml:space="preserve">WEEK 3-4: OPTIMIZATION</t>
  </si>
  <si>
    <t xml:space="preserve">☐ Implement Claude batch processing (50% savings)</t>
  </si>
  <si>
    <t xml:space="preserve">☐ Switch non-critical features to Haiku (50% cheaper)</t>
  </si>
  <si>
    <t xml:space="preserve">☐ Configure prompt caching (20-30% token reduction)</t>
  </si>
  <si>
    <t xml:space="preserve">☐ Apply startup credits to cloud provider</t>
  </si>
  <si>
    <t xml:space="preserve">☐ Set up automated scaling (scale down off-peak)</t>
  </si>
  <si>
    <t xml:space="preserve">ONGOING: MONTHLY REVIEWS</t>
  </si>
  <si>
    <t xml:space="preserve">☐ Review actual spend vs. budget (+/- 10% variance)</t>
  </si>
  <si>
    <t xml:space="preserve">☐ Identify highest-cost users/features</t>
  </si>
  <si>
    <t xml:space="preserve">☐ Renegotiate Anodiam discount if possible</t>
  </si>
  <si>
    <t xml:space="preserve">☐ Evaluate cheaper LLM alternatives (Grok, Llama)</t>
  </si>
  <si>
    <t xml:space="preserve">☐ Audit for unused APIs or services</t>
  </si>
  <si>
    <t xml:space="preserve">☐ Cost per user trend (should decrease with scale)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</si>
</sst>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$#,##0"/>
    <numFmt numFmtId="167" formatCode="[$$-409]#,##0.00;[RED]\-[$$-409]#,##0.00"/>
    <numFmt numFmtId="168" formatCode="0.0%"/>
    <numFmt numFmtId="169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1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true">
      <left style="thin"/>
      <right/>
      <top style="thin"/>
      <bottom/>
      <diagonal style="thin"/>
    </border>
    <border diagonalUp="false" diagonalDown="true">
      <left/>
      <right/>
      <top style="thin"/>
      <bottom/>
      <diagonal style="thin"/>
    </border>
    <border diagonalUp="false" diagonalDown="true">
      <left/>
      <right style="thin"/>
      <top style="thin"/>
      <bottom/>
      <diagonal style="thin"/>
    </border>
    <border diagonalUp="false" diagonalDown="true">
      <left style="thin"/>
      <right/>
      <top/>
      <bottom style="thin"/>
      <diagonal style="thin"/>
    </border>
    <border diagonalUp="false" diagonalDown="true">
      <left/>
      <right/>
      <top/>
      <bottom style="thin"/>
      <diagonal style="thin"/>
    </border>
    <border diagonalUp="false" diagonalDown="true">
      <left/>
      <right style="thin"/>
      <top/>
      <bottom style="thin"/>
      <diagonal style="thin"/>
    </border>
    <border diagonalUp="false" diagonalDown="true">
      <left style="thin"/>
      <right style="thin"/>
      <top style="thin"/>
      <bottom/>
      <diagonal style="thin"/>
    </border>
    <border diagonalUp="false" diagonalDown="true">
      <left style="thin"/>
      <right/>
      <top/>
      <bottom/>
      <diagonal style="thin"/>
    </border>
    <border diagonalUp="false" diagonalDown="true">
      <left/>
      <right/>
      <top/>
      <bottom/>
      <diagonal style="thin"/>
    </border>
    <border diagonalUp="false" diagonalDown="true">
      <left/>
      <right style="thin"/>
      <top/>
      <bottom/>
      <diagonal style="thin"/>
    </border>
    <border diagonalUp="false" diagonalDown="true">
      <left style="thin"/>
      <right/>
      <top style="thin"/>
      <bottom style="thin"/>
      <diagonal style="thin"/>
    </border>
    <border diagonalUp="false" diagonalDown="true">
      <left/>
      <right/>
      <top style="thin"/>
      <bottom style="thin"/>
      <diagonal style="thin"/>
    </border>
    <border diagonalUp="false" diagonalDown="true">
      <left/>
      <right style="thin"/>
      <top style="thin"/>
      <bottom style="thin"/>
      <diagonal style="thin"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36" colorId="64" zoomScale="140" zoomScaleNormal="140" zoomScalePageLayoutView="100" workbookViewId="0">
      <selection pane="topLeft" activeCell="B43" activeCellId="1" sqref="A10:E15 B4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2.88"/>
    <col collapsed="false" customWidth="true" hidden="false" outlineLevel="0" max="2" min="2" style="1" width="20.71"/>
    <col collapsed="false" customWidth="true" hidden="false" outlineLevel="0" max="3" min="3" style="1" width="13.87"/>
    <col collapsed="false" customWidth="true" hidden="false" outlineLevel="0" max="4" min="4" style="1" width="26.12"/>
    <col collapsed="false" customWidth="true" hidden="false" outlineLevel="0" max="5" min="5" style="1" width="24.79"/>
    <col collapsed="false" customWidth="true" hidden="false" outlineLevel="0" max="6" min="6" style="1" width="25"/>
    <col collapsed="false" customWidth="false" hidden="false" outlineLevel="0" max="16384" min="7" style="2" width="8.59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</row>
    <row r="3" customFormat="false" ht="15" hidden="false" customHeight="false" outlineLevel="0" collapsed="false">
      <c r="A3" s="4" t="s">
        <v>1</v>
      </c>
      <c r="B3" s="4"/>
      <c r="C3" s="4"/>
      <c r="D3" s="4"/>
    </row>
    <row r="4" customFormat="false" ht="15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false" outlineLevel="0" collapsed="false">
      <c r="A5" s="1" t="s">
        <v>6</v>
      </c>
      <c r="B5" s="6" t="n">
        <v>72.5</v>
      </c>
      <c r="C5" s="6" t="n">
        <v>60</v>
      </c>
      <c r="D5" s="7" t="s">
        <v>7</v>
      </c>
    </row>
    <row r="6" customFormat="false" ht="15" hidden="false" customHeight="false" outlineLevel="0" collapsed="false">
      <c r="A6" s="1" t="s">
        <v>8</v>
      </c>
      <c r="B6" s="6" t="n">
        <v>40</v>
      </c>
      <c r="C6" s="6" t="n">
        <v>40</v>
      </c>
      <c r="D6" s="7" t="s">
        <v>9</v>
      </c>
    </row>
    <row r="7" customFormat="false" ht="15" hidden="false" customHeight="false" outlineLevel="0" collapsed="false">
      <c r="A7" s="1" t="s">
        <v>10</v>
      </c>
      <c r="B7" s="6" t="n">
        <v>40</v>
      </c>
      <c r="C7" s="6" t="n">
        <v>40</v>
      </c>
      <c r="D7" s="7" t="s">
        <v>9</v>
      </c>
    </row>
    <row r="8" customFormat="false" ht="15" hidden="false" customHeight="false" outlineLevel="0" collapsed="false">
      <c r="A8" s="1" t="s">
        <v>11</v>
      </c>
      <c r="B8" s="6" t="n">
        <v>30</v>
      </c>
      <c r="C8" s="6" t="n">
        <v>30</v>
      </c>
      <c r="D8" s="7" t="s">
        <v>12</v>
      </c>
    </row>
    <row r="9" customFormat="false" ht="15" hidden="false" customHeight="false" outlineLevel="0" collapsed="false">
      <c r="A9" s="1" t="s">
        <v>13</v>
      </c>
      <c r="B9" s="6" t="n">
        <v>30</v>
      </c>
      <c r="C9" s="6" t="n">
        <v>28</v>
      </c>
      <c r="D9" s="7" t="s">
        <v>14</v>
      </c>
    </row>
    <row r="10" customFormat="false" ht="15" hidden="false" customHeight="false" outlineLevel="0" collapsed="false">
      <c r="A10" s="1" t="s">
        <v>15</v>
      </c>
      <c r="B10" s="6" t="n">
        <v>0.5</v>
      </c>
      <c r="C10" s="6" t="n">
        <v>0.5</v>
      </c>
      <c r="D10" s="7" t="s">
        <v>16</v>
      </c>
    </row>
    <row r="11" customFormat="false" ht="15" hidden="false" customHeight="false" outlineLevel="0" collapsed="false">
      <c r="A11" s="1" t="s">
        <v>17</v>
      </c>
      <c r="B11" s="6" t="n">
        <v>2</v>
      </c>
      <c r="C11" s="6" t="n">
        <v>1.5</v>
      </c>
      <c r="D11" s="7" t="s">
        <v>18</v>
      </c>
    </row>
    <row r="12" customFormat="false" ht="15" hidden="false" customHeight="false" outlineLevel="0" collapsed="false">
      <c r="A12" s="1" t="s">
        <v>19</v>
      </c>
      <c r="B12" s="6" t="n">
        <v>1</v>
      </c>
      <c r="C12" s="6" t="n">
        <v>0.75</v>
      </c>
      <c r="D12" s="7" t="s">
        <v>20</v>
      </c>
    </row>
    <row r="13" customFormat="false" ht="15" hidden="false" customHeight="false" outlineLevel="0" collapsed="false">
      <c r="A13" s="8" t="s">
        <v>21</v>
      </c>
      <c r="B13" s="9" t="n">
        <v>1</v>
      </c>
      <c r="C13" s="9" t="n">
        <v>0.5</v>
      </c>
      <c r="D13" s="10" t="s">
        <v>22</v>
      </c>
    </row>
    <row r="14" customFormat="false" ht="15" hidden="false" customHeight="false" outlineLevel="0" collapsed="false">
      <c r="A14" s="11" t="s">
        <v>23</v>
      </c>
      <c r="B14" s="12" t="n">
        <v>0.5</v>
      </c>
      <c r="C14" s="12" t="n">
        <v>0.5</v>
      </c>
      <c r="D14" s="13" t="s">
        <v>24</v>
      </c>
    </row>
    <row r="15" customFormat="false" ht="15" hidden="false" customHeight="false" outlineLevel="0" collapsed="false">
      <c r="B15" s="6"/>
      <c r="C15" s="6"/>
      <c r="D15" s="7"/>
    </row>
    <row r="16" customFormat="false" ht="15" hidden="false" customHeight="false" outlineLevel="0" collapsed="false">
      <c r="A16" s="14" t="s">
        <v>25</v>
      </c>
      <c r="B16" s="14"/>
      <c r="C16" s="14"/>
      <c r="D16" s="14"/>
      <c r="E16" s="14"/>
    </row>
    <row r="17" customFormat="false" ht="15" hidden="false" customHeight="false" outlineLevel="0" collapsed="false">
      <c r="A17" s="15" t="s">
        <v>26</v>
      </c>
      <c r="B17" s="16" t="s">
        <v>27</v>
      </c>
      <c r="C17" s="16" t="s">
        <v>28</v>
      </c>
      <c r="D17" s="16" t="s">
        <v>29</v>
      </c>
      <c r="E17" s="17" t="s">
        <v>5</v>
      </c>
    </row>
    <row r="18" customFormat="false" ht="15" hidden="false" customHeight="false" outlineLevel="0" collapsed="false">
      <c r="A18" s="18" t="s">
        <v>30</v>
      </c>
      <c r="B18" s="19" t="n">
        <v>0.5</v>
      </c>
      <c r="C18" s="19" t="n">
        <v>0.2</v>
      </c>
      <c r="D18" s="19" t="n">
        <v>0.65</v>
      </c>
      <c r="E18" s="20" t="s">
        <v>31</v>
      </c>
    </row>
    <row r="19" customFormat="false" ht="15" hidden="false" customHeight="false" outlineLevel="0" collapsed="false">
      <c r="A19" s="18" t="s">
        <v>32</v>
      </c>
      <c r="B19" s="19" t="n">
        <v>0.25</v>
      </c>
      <c r="C19" s="19" t="n">
        <v>0.15</v>
      </c>
      <c r="D19" s="19" t="n">
        <v>0.37</v>
      </c>
      <c r="E19" s="20" t="s">
        <v>33</v>
      </c>
    </row>
    <row r="20" customFormat="false" ht="15" hidden="false" customHeight="false" outlineLevel="0" collapsed="false">
      <c r="A20" s="11" t="s">
        <v>34</v>
      </c>
      <c r="B20" s="21" t="n">
        <v>0</v>
      </c>
      <c r="C20" s="21" t="n">
        <v>0</v>
      </c>
      <c r="D20" s="21" t="n">
        <v>0</v>
      </c>
      <c r="E20" s="22" t="s">
        <v>35</v>
      </c>
    </row>
    <row r="22" customFormat="false" ht="15" hidden="false" customHeight="false" outlineLevel="0" collapsed="false">
      <c r="A22" s="4" t="s">
        <v>36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37</v>
      </c>
      <c r="B23" s="5" t="s">
        <v>3</v>
      </c>
      <c r="C23" s="5" t="s">
        <v>4</v>
      </c>
      <c r="D23" s="5" t="s">
        <v>5</v>
      </c>
    </row>
    <row r="24" customFormat="false" ht="15" hidden="false" customHeight="false" outlineLevel="0" collapsed="false">
      <c r="A24" s="1" t="s">
        <v>38</v>
      </c>
      <c r="B24" s="23" t="n">
        <v>1000</v>
      </c>
      <c r="C24" s="23" t="n">
        <v>600</v>
      </c>
      <c r="D24" s="7" t="s">
        <v>39</v>
      </c>
    </row>
    <row r="25" customFormat="false" ht="15" hidden="false" customHeight="false" outlineLevel="0" collapsed="false">
      <c r="A25" s="1" t="s">
        <v>40</v>
      </c>
      <c r="B25" s="23" t="n">
        <v>700</v>
      </c>
      <c r="C25" s="23" t="n">
        <v>700</v>
      </c>
      <c r="D25" s="7" t="s">
        <v>41</v>
      </c>
    </row>
    <row r="26" customFormat="false" ht="15" hidden="false" customHeight="false" outlineLevel="0" collapsed="false">
      <c r="A26" s="1" t="s">
        <v>42</v>
      </c>
      <c r="B26" s="23" t="n">
        <v>400</v>
      </c>
      <c r="C26" s="23" t="n">
        <v>250</v>
      </c>
      <c r="D26" s="7" t="s">
        <v>43</v>
      </c>
    </row>
    <row r="27" customFormat="false" ht="15" hidden="false" customHeight="false" outlineLevel="0" collapsed="false">
      <c r="A27" s="1" t="s">
        <v>44</v>
      </c>
      <c r="B27" s="23" t="n">
        <v>600</v>
      </c>
      <c r="C27" s="23" t="n">
        <v>350</v>
      </c>
      <c r="D27" s="7" t="s">
        <v>45</v>
      </c>
    </row>
    <row r="28" customFormat="false" ht="15" hidden="false" customHeight="false" outlineLevel="0" collapsed="false">
      <c r="A28" s="24" t="s">
        <v>46</v>
      </c>
      <c r="B28" s="25" t="n">
        <v>1000</v>
      </c>
      <c r="C28" s="25" t="n">
        <v>500</v>
      </c>
      <c r="D28" s="26" t="s">
        <v>47</v>
      </c>
    </row>
    <row r="30" customFormat="false" ht="31.05" hidden="false" customHeight="false" outlineLevel="0" collapsed="false">
      <c r="A30" s="27" t="s">
        <v>37</v>
      </c>
      <c r="B30" s="27" t="s">
        <v>48</v>
      </c>
      <c r="C30" s="27" t="s">
        <v>49</v>
      </c>
      <c r="D30" s="27" t="s">
        <v>50</v>
      </c>
    </row>
    <row r="31" customFormat="false" ht="165.4" hidden="false" customHeight="false" outlineLevel="0" collapsed="false">
      <c r="A31" s="28" t="s">
        <v>51</v>
      </c>
      <c r="B31" s="29" t="n">
        <v>600</v>
      </c>
      <c r="C31" s="30" t="s">
        <v>52</v>
      </c>
      <c r="D31" s="31" t="s">
        <v>53</v>
      </c>
    </row>
    <row r="32" customFormat="false" ht="120.6" hidden="false" customHeight="false" outlineLevel="0" collapsed="false">
      <c r="A32" s="28" t="s">
        <v>40</v>
      </c>
      <c r="B32" s="29" t="n">
        <v>700</v>
      </c>
      <c r="C32" s="30" t="s">
        <v>54</v>
      </c>
      <c r="D32" s="31" t="s">
        <v>55</v>
      </c>
    </row>
    <row r="33" customFormat="false" ht="135.55" hidden="false" customHeight="false" outlineLevel="0" collapsed="false">
      <c r="A33" s="28" t="s">
        <v>56</v>
      </c>
      <c r="B33" s="29" t="n">
        <v>250</v>
      </c>
      <c r="C33" s="30" t="s">
        <v>57</v>
      </c>
      <c r="D33" s="31" t="s">
        <v>58</v>
      </c>
    </row>
    <row r="34" customFormat="false" ht="90.75" hidden="false" customHeight="false" outlineLevel="0" collapsed="false">
      <c r="A34" s="28" t="s">
        <v>44</v>
      </c>
      <c r="B34" s="29" t="n">
        <v>350</v>
      </c>
      <c r="C34" s="30" t="s">
        <v>59</v>
      </c>
      <c r="D34" s="31" t="s">
        <v>60</v>
      </c>
    </row>
    <row r="35" customFormat="false" ht="105.7" hidden="false" customHeight="false" outlineLevel="0" collapsed="false">
      <c r="A35" s="28" t="s">
        <v>61</v>
      </c>
      <c r="B35" s="29" t="n">
        <v>500</v>
      </c>
      <c r="C35" s="30" t="s">
        <v>62</v>
      </c>
      <c r="D35" s="31" t="s">
        <v>63</v>
      </c>
    </row>
    <row r="39" customFormat="false" ht="16.4" hidden="false" customHeight="false" outlineLevel="0" collapsed="false">
      <c r="A39" s="32" t="s">
        <v>37</v>
      </c>
      <c r="B39" s="32" t="s">
        <v>64</v>
      </c>
      <c r="C39" s="32" t="s">
        <v>5</v>
      </c>
    </row>
    <row r="40" customFormat="false" ht="46.25" hidden="false" customHeight="false" outlineLevel="0" collapsed="false">
      <c r="A40" s="33" t="s">
        <v>51</v>
      </c>
      <c r="B40" s="33" t="s">
        <v>65</v>
      </c>
      <c r="C40" s="34" t="s">
        <v>66</v>
      </c>
    </row>
    <row r="41" customFormat="false" ht="31.3" hidden="false" customHeight="false" outlineLevel="0" collapsed="false">
      <c r="A41" s="33" t="s">
        <v>40</v>
      </c>
      <c r="B41" s="33" t="s">
        <v>67</v>
      </c>
      <c r="C41" s="34" t="s">
        <v>68</v>
      </c>
    </row>
    <row r="42" customFormat="false" ht="16.4" hidden="false" customHeight="false" outlineLevel="0" collapsed="false">
      <c r="A42" s="33" t="s">
        <v>69</v>
      </c>
      <c r="B42" s="35" t="n">
        <v>0</v>
      </c>
      <c r="C42" s="34" t="s">
        <v>70</v>
      </c>
    </row>
    <row r="43" customFormat="false" ht="46.25" hidden="false" customHeight="false" outlineLevel="0" collapsed="false">
      <c r="A43" s="33" t="s">
        <v>44</v>
      </c>
      <c r="B43" s="33" t="s">
        <v>67</v>
      </c>
      <c r="C43" s="34" t="s">
        <v>71</v>
      </c>
    </row>
    <row r="44" customFormat="false" ht="31.3" hidden="false" customHeight="false" outlineLevel="0" collapsed="false">
      <c r="A44" s="33" t="s">
        <v>61</v>
      </c>
      <c r="B44" s="33" t="s">
        <v>72</v>
      </c>
      <c r="C44" s="34" t="s">
        <v>73</v>
      </c>
    </row>
    <row r="45" customFormat="false" ht="16.4" hidden="false" customHeight="false" outlineLevel="0" collapsed="false">
      <c r="A45" s="33" t="s">
        <v>74</v>
      </c>
      <c r="B45" s="33" t="s">
        <v>75</v>
      </c>
      <c r="C45" s="33" t="s">
        <v>76</v>
      </c>
    </row>
  </sheetData>
  <mergeCells count="4">
    <mergeCell ref="A1:E1"/>
    <mergeCell ref="A3:D3"/>
    <mergeCell ref="A16:E16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24" activeCellId="1" sqref="A10:E15 D24"/>
    </sheetView>
  </sheetViews>
  <sheetFormatPr defaultColWidth="8.59765625" defaultRowHeight="15" zeroHeight="false" outlineLevelRow="0" outlineLevelCol="0"/>
  <cols>
    <col collapsed="false" customWidth="true" hidden="false" outlineLevel="0" max="1" min="1" style="36" width="35"/>
    <col collapsed="false" customWidth="true" hidden="false" outlineLevel="0" max="2" min="2" style="36" width="18"/>
    <col collapsed="false" customWidth="true" hidden="false" outlineLevel="0" max="3" min="3" style="36" width="21.93"/>
    <col collapsed="false" customWidth="true" hidden="false" outlineLevel="0" max="4" min="4" style="36" width="19.38"/>
    <col collapsed="false" customWidth="true" hidden="false" outlineLevel="0" max="5" min="5" style="36" width="18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3" t="s">
        <v>77</v>
      </c>
      <c r="B1" s="3"/>
      <c r="C1" s="3"/>
      <c r="D1" s="3"/>
      <c r="E1" s="3"/>
    </row>
    <row r="3" customFormat="false" ht="15" hidden="false" customHeight="false" outlineLevel="0" collapsed="false">
      <c r="A3" s="37" t="s">
        <v>78</v>
      </c>
      <c r="B3" s="37"/>
      <c r="C3" s="37"/>
      <c r="D3" s="37"/>
      <c r="E3" s="37"/>
    </row>
    <row r="4" customFormat="false" ht="15" hidden="false" customHeight="false" outlineLevel="0" collapsed="false">
      <c r="A4" s="38" t="s">
        <v>79</v>
      </c>
      <c r="B4" s="38" t="s">
        <v>80</v>
      </c>
      <c r="C4" s="38" t="s">
        <v>81</v>
      </c>
      <c r="D4" s="38" t="s">
        <v>82</v>
      </c>
      <c r="E4" s="38" t="s">
        <v>83</v>
      </c>
    </row>
    <row r="5" customFormat="false" ht="15" hidden="false" customHeight="false" outlineLevel="0" collapsed="false">
      <c r="A5" s="36" t="s">
        <v>84</v>
      </c>
      <c r="B5" s="39" t="s">
        <v>85</v>
      </c>
      <c r="C5" s="40" t="n">
        <v>2</v>
      </c>
      <c r="D5" s="40" t="n">
        <v>75</v>
      </c>
      <c r="E5" s="41" t="n">
        <f aca="false">C5*D5*20*8</f>
        <v>24000</v>
      </c>
    </row>
    <row r="6" customFormat="false" ht="15" hidden="false" customHeight="false" outlineLevel="0" collapsed="false">
      <c r="A6" s="36" t="s">
        <v>86</v>
      </c>
      <c r="B6" s="39" t="s">
        <v>85</v>
      </c>
      <c r="C6" s="40" t="n">
        <v>2</v>
      </c>
      <c r="D6" s="40" t="n">
        <v>40</v>
      </c>
      <c r="E6" s="41" t="n">
        <f aca="false">C6*D6*20*8</f>
        <v>12800</v>
      </c>
    </row>
    <row r="7" customFormat="false" ht="15" hidden="false" customHeight="false" outlineLevel="0" collapsed="false">
      <c r="A7" s="42" t="s">
        <v>87</v>
      </c>
      <c r="B7" s="43" t="s">
        <v>85</v>
      </c>
      <c r="C7" s="44" t="n">
        <v>1</v>
      </c>
      <c r="D7" s="44" t="n">
        <v>28</v>
      </c>
      <c r="E7" s="41" t="n">
        <f aca="false">C7*D7*20*8</f>
        <v>4480</v>
      </c>
    </row>
    <row r="8" customFormat="false" ht="15" hidden="false" customHeight="false" outlineLevel="0" collapsed="false">
      <c r="A8" s="45" t="s">
        <v>88</v>
      </c>
      <c r="E8" s="46" t="n">
        <f aca="false">SUM(E5:E7)</f>
        <v>41280</v>
      </c>
    </row>
    <row r="9" customFormat="false" ht="15" hidden="false" customHeight="false" outlineLevel="0" collapsed="false">
      <c r="E9" s="39"/>
    </row>
    <row r="10" customFormat="false" ht="15" hidden="false" customHeight="false" outlineLevel="0" collapsed="false">
      <c r="A10" s="45" t="s">
        <v>89</v>
      </c>
      <c r="E10" s="39"/>
    </row>
    <row r="11" customFormat="false" ht="15" hidden="false" customHeight="false" outlineLevel="0" collapsed="false">
      <c r="A11" s="36" t="s">
        <v>90</v>
      </c>
      <c r="E11" s="47" t="n">
        <v>100</v>
      </c>
    </row>
    <row r="12" customFormat="false" ht="15" hidden="false" customHeight="false" outlineLevel="0" collapsed="false">
      <c r="A12" s="36" t="s">
        <v>91</v>
      </c>
      <c r="E12" s="47" t="n">
        <v>120</v>
      </c>
    </row>
    <row r="13" customFormat="false" ht="15" hidden="false" customHeight="false" outlineLevel="0" collapsed="false">
      <c r="A13" s="36" t="s">
        <v>92</v>
      </c>
      <c r="E13" s="47" t="n">
        <v>0</v>
      </c>
    </row>
    <row r="14" customFormat="false" ht="15" hidden="false" customHeight="false" outlineLevel="0" collapsed="false">
      <c r="A14" s="36" t="s">
        <v>93</v>
      </c>
      <c r="E14" s="47" t="n">
        <v>120</v>
      </c>
    </row>
    <row r="15" customFormat="false" ht="15" hidden="false" customHeight="false" outlineLevel="0" collapsed="false">
      <c r="A15" s="45" t="s">
        <v>94</v>
      </c>
      <c r="E15" s="46" t="n">
        <f aca="false">SUM(E11:E14)</f>
        <v>340</v>
      </c>
    </row>
    <row r="16" customFormat="false" ht="15" hidden="false" customHeight="false" outlineLevel="0" collapsed="false">
      <c r="E16" s="39"/>
    </row>
    <row r="17" customFormat="false" ht="15" hidden="false" customHeight="false" outlineLevel="0" collapsed="false">
      <c r="A17" s="45" t="s">
        <v>95</v>
      </c>
      <c r="E17" s="48" t="n">
        <f aca="false">E8+E15</f>
        <v>41620</v>
      </c>
    </row>
    <row r="18" customFormat="false" ht="15" hidden="false" customHeight="false" outlineLevel="0" collapsed="false">
      <c r="A18" s="49" t="s">
        <v>96</v>
      </c>
      <c r="E18" s="50" t="n">
        <f aca="false">E17*6</f>
        <v>249720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0" activeCellId="0" sqref="A10:E15"/>
    </sheetView>
  </sheetViews>
  <sheetFormatPr defaultColWidth="8.59765625" defaultRowHeight="15" zeroHeight="false" outlineLevelRow="0" outlineLevelCol="0"/>
  <cols>
    <col collapsed="false" customWidth="true" hidden="false" outlineLevel="0" max="1" min="1" style="36" width="35"/>
    <col collapsed="false" customWidth="true" hidden="false" outlineLevel="0" max="2" min="2" style="36" width="18"/>
    <col collapsed="false" customWidth="true" hidden="false" outlineLevel="0" max="3" min="3" style="36" width="21.93"/>
    <col collapsed="false" customWidth="true" hidden="false" outlineLevel="0" max="4" min="4" style="36" width="19.38"/>
    <col collapsed="false" customWidth="true" hidden="false" outlineLevel="0" max="5" min="5" style="36" width="18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3" t="s">
        <v>77</v>
      </c>
      <c r="B1" s="3"/>
      <c r="C1" s="3"/>
      <c r="D1" s="3"/>
      <c r="E1" s="3"/>
    </row>
    <row r="3" customFormat="false" ht="15" hidden="false" customHeight="false" outlineLevel="0" collapsed="false">
      <c r="A3" s="37" t="s">
        <v>78</v>
      </c>
      <c r="B3" s="37"/>
      <c r="C3" s="37"/>
      <c r="D3" s="37"/>
      <c r="E3" s="37"/>
    </row>
    <row r="4" customFormat="false" ht="15" hidden="false" customHeight="false" outlineLevel="0" collapsed="false">
      <c r="A4" s="38" t="s">
        <v>79</v>
      </c>
      <c r="B4" s="38" t="s">
        <v>80</v>
      </c>
      <c r="C4" s="38" t="s">
        <v>81</v>
      </c>
      <c r="D4" s="38" t="s">
        <v>82</v>
      </c>
      <c r="E4" s="38" t="s">
        <v>83</v>
      </c>
    </row>
    <row r="5" customFormat="false" ht="15" hidden="false" customHeight="false" outlineLevel="0" collapsed="false">
      <c r="A5" s="36" t="s">
        <v>84</v>
      </c>
      <c r="B5" s="39" t="s">
        <v>85</v>
      </c>
      <c r="C5" s="40" t="n">
        <v>2</v>
      </c>
      <c r="D5" s="40" t="n">
        <v>75</v>
      </c>
      <c r="E5" s="41" t="n">
        <f aca="false">C5*D5*20*8</f>
        <v>24000</v>
      </c>
    </row>
    <row r="6" customFormat="false" ht="15" hidden="false" customHeight="false" outlineLevel="0" collapsed="false">
      <c r="A6" s="36" t="s">
        <v>86</v>
      </c>
      <c r="B6" s="39" t="s">
        <v>85</v>
      </c>
      <c r="C6" s="40" t="n">
        <v>2</v>
      </c>
      <c r="D6" s="40" t="n">
        <v>40</v>
      </c>
      <c r="E6" s="41" t="n">
        <f aca="false">C6*D6*20*8</f>
        <v>12800</v>
      </c>
    </row>
    <row r="7" customFormat="false" ht="15" hidden="false" customHeight="false" outlineLevel="0" collapsed="false">
      <c r="A7" s="42" t="s">
        <v>87</v>
      </c>
      <c r="B7" s="43" t="s">
        <v>85</v>
      </c>
      <c r="C7" s="44" t="n">
        <v>1</v>
      </c>
      <c r="D7" s="44" t="n">
        <v>28</v>
      </c>
      <c r="E7" s="41" t="n">
        <f aca="false">C7*D7*20*8</f>
        <v>4480</v>
      </c>
    </row>
    <row r="8" customFormat="false" ht="15" hidden="false" customHeight="false" outlineLevel="0" collapsed="false">
      <c r="A8" s="45" t="s">
        <v>88</v>
      </c>
      <c r="E8" s="46" t="n">
        <f aca="false">SUM(E5:E7)</f>
        <v>41280</v>
      </c>
    </row>
    <row r="9" customFormat="false" ht="15" hidden="false" customHeight="false" outlineLevel="0" collapsed="false">
      <c r="E9" s="39"/>
    </row>
    <row r="10" customFormat="false" ht="15" hidden="false" customHeight="false" outlineLevel="0" collapsed="false">
      <c r="A10" s="45" t="s">
        <v>89</v>
      </c>
      <c r="E10" s="39"/>
    </row>
    <row r="11" customFormat="false" ht="15" hidden="false" customHeight="false" outlineLevel="0" collapsed="false">
      <c r="A11" s="36" t="s">
        <v>90</v>
      </c>
      <c r="E11" s="47" t="n">
        <v>100</v>
      </c>
    </row>
    <row r="12" customFormat="false" ht="15" hidden="false" customHeight="false" outlineLevel="0" collapsed="false">
      <c r="A12" s="36" t="s">
        <v>91</v>
      </c>
      <c r="E12" s="47" t="n">
        <v>120</v>
      </c>
    </row>
    <row r="13" customFormat="false" ht="15" hidden="false" customHeight="false" outlineLevel="0" collapsed="false">
      <c r="A13" s="36" t="s">
        <v>92</v>
      </c>
      <c r="E13" s="47" t="n">
        <v>0</v>
      </c>
    </row>
    <row r="14" customFormat="false" ht="15" hidden="false" customHeight="false" outlineLevel="0" collapsed="false">
      <c r="A14" s="36" t="s">
        <v>93</v>
      </c>
      <c r="E14" s="47" t="n">
        <v>120</v>
      </c>
    </row>
    <row r="15" customFormat="false" ht="15" hidden="false" customHeight="false" outlineLevel="0" collapsed="false">
      <c r="A15" s="45" t="s">
        <v>94</v>
      </c>
      <c r="E15" s="46" t="n">
        <f aca="false">SUM(E11:E14)</f>
        <v>340</v>
      </c>
    </row>
    <row r="16" customFormat="false" ht="15" hidden="false" customHeight="false" outlineLevel="0" collapsed="false">
      <c r="E16" s="39"/>
    </row>
    <row r="17" customFormat="false" ht="15" hidden="false" customHeight="false" outlineLevel="0" collapsed="false">
      <c r="A17" s="45" t="s">
        <v>95</v>
      </c>
      <c r="E17" s="48" t="n">
        <f aca="false">E8+E15</f>
        <v>41620</v>
      </c>
    </row>
    <row r="18" customFormat="false" ht="15" hidden="false" customHeight="false" outlineLevel="0" collapsed="false">
      <c r="A18" s="49" t="s">
        <v>96</v>
      </c>
      <c r="E18" s="50" t="n">
        <f aca="false">E17*6</f>
        <v>249720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1" sqref="A10:E15 A3"/>
    </sheetView>
  </sheetViews>
  <sheetFormatPr defaultColWidth="8.59765625" defaultRowHeight="15" zeroHeight="false" outlineLevelRow="0" outlineLevelCol="0"/>
  <cols>
    <col collapsed="false" customWidth="true" hidden="false" outlineLevel="0" max="1" min="1" style="36" width="35"/>
    <col collapsed="false" customWidth="true" hidden="false" outlineLevel="0" max="5" min="2" style="36" width="18"/>
    <col collapsed="false" customWidth="true" hidden="false" outlineLevel="0" max="6" min="6" style="36" width="25"/>
  </cols>
  <sheetData>
    <row r="1" customFormat="false" ht="15" hidden="false" customHeight="false" outlineLevel="0" collapsed="false">
      <c r="A1" s="3" t="s">
        <v>97</v>
      </c>
      <c r="B1" s="3"/>
      <c r="C1" s="3"/>
      <c r="D1" s="3"/>
    </row>
    <row r="3" customFormat="false" ht="15" hidden="false" customHeight="false" outlineLevel="0" collapsed="false">
      <c r="A3" s="51" t="s">
        <v>98</v>
      </c>
      <c r="B3" s="38" t="s">
        <v>99</v>
      </c>
      <c r="C3" s="38" t="s">
        <v>100</v>
      </c>
      <c r="D3" s="38" t="s">
        <v>101</v>
      </c>
    </row>
    <row r="4" customFormat="false" ht="15" hidden="false" customHeight="false" outlineLevel="0" collapsed="false">
      <c r="A4" s="52" t="s">
        <v>102</v>
      </c>
      <c r="B4" s="53" t="n">
        <v>11400</v>
      </c>
      <c r="C4" s="53" t="n">
        <v>12600</v>
      </c>
      <c r="D4" s="53" t="n">
        <v>13650</v>
      </c>
    </row>
    <row r="5" customFormat="false" ht="15" hidden="false" customHeight="false" outlineLevel="0" collapsed="false">
      <c r="A5" s="52" t="s">
        <v>27</v>
      </c>
      <c r="B5" s="54" t="n">
        <v>0.5</v>
      </c>
      <c r="C5" s="54" t="n">
        <v>0.25</v>
      </c>
      <c r="D5" s="54" t="n">
        <v>0</v>
      </c>
    </row>
    <row r="6" customFormat="false" ht="15" hidden="false" customHeight="false" outlineLevel="0" collapsed="false">
      <c r="A6" s="52" t="s">
        <v>103</v>
      </c>
      <c r="B6" s="55" t="n">
        <v>5700</v>
      </c>
      <c r="C6" s="55" t="n">
        <v>9450</v>
      </c>
      <c r="D6" s="55" t="n">
        <v>13650</v>
      </c>
    </row>
    <row r="7" customFormat="false" ht="15" hidden="false" customHeight="false" outlineLevel="0" collapsed="false">
      <c r="B7" s="53"/>
      <c r="C7" s="53"/>
      <c r="D7" s="53"/>
    </row>
    <row r="8" customFormat="false" ht="15" hidden="false" customHeight="false" outlineLevel="0" collapsed="false">
      <c r="A8" s="52" t="s">
        <v>104</v>
      </c>
      <c r="B8" s="53" t="n">
        <v>2600</v>
      </c>
      <c r="C8" s="53" t="n">
        <v>2900</v>
      </c>
      <c r="D8" s="53" t="n">
        <v>3700</v>
      </c>
    </row>
    <row r="9" customFormat="false" ht="15" hidden="false" customHeight="false" outlineLevel="0" collapsed="false">
      <c r="A9" s="52" t="s">
        <v>105</v>
      </c>
      <c r="B9" s="54" t="n">
        <v>0.15</v>
      </c>
      <c r="C9" s="54" t="n">
        <v>0.1</v>
      </c>
      <c r="D9" s="54" t="n">
        <v>0</v>
      </c>
    </row>
    <row r="10" customFormat="false" ht="15" hidden="false" customHeight="false" outlineLevel="0" collapsed="false">
      <c r="A10" s="52" t="s">
        <v>106</v>
      </c>
      <c r="B10" s="53" t="n">
        <v>2210</v>
      </c>
      <c r="C10" s="53" t="n">
        <v>2610</v>
      </c>
      <c r="D10" s="53" t="n">
        <v>3700</v>
      </c>
    </row>
    <row r="11" customFormat="false" ht="15" hidden="false" customHeight="false" outlineLevel="0" collapsed="false">
      <c r="B11" s="53"/>
      <c r="C11" s="53"/>
      <c r="D11" s="53"/>
    </row>
    <row r="12" customFormat="false" ht="15" hidden="false" customHeight="false" outlineLevel="0" collapsed="false">
      <c r="A12" s="45" t="s">
        <v>95</v>
      </c>
      <c r="B12" s="56" t="n">
        <v>7910</v>
      </c>
      <c r="C12" s="56" t="n">
        <v>12060</v>
      </c>
      <c r="D12" s="56" t="n">
        <v>17350</v>
      </c>
    </row>
    <row r="13" customFormat="false" ht="15" hidden="false" customHeight="false" outlineLevel="0" collapsed="false">
      <c r="A13" s="45" t="s">
        <v>107</v>
      </c>
      <c r="B13" s="57" t="n">
        <v>47460</v>
      </c>
      <c r="C13" s="57" t="n">
        <v>72360</v>
      </c>
      <c r="D13" s="57" t="n">
        <v>104100</v>
      </c>
    </row>
    <row r="14" customFormat="false" ht="15" hidden="false" customHeight="false" outlineLevel="0" collapsed="false">
      <c r="A14" s="52" t="s">
        <v>108</v>
      </c>
      <c r="B14" s="54" t="n">
        <v>15.82</v>
      </c>
      <c r="C14" s="54" t="n">
        <v>24.12</v>
      </c>
      <c r="D14" s="54" t="n">
        <v>34.7</v>
      </c>
    </row>
    <row r="15" customFormat="false" ht="15" hidden="false" customHeight="false" outlineLevel="0" collapsed="false">
      <c r="B15" s="53"/>
      <c r="C15" s="53"/>
      <c r="D15" s="53"/>
    </row>
    <row r="16" customFormat="false" ht="15" hidden="false" customHeight="false" outlineLevel="0" collapsed="false">
      <c r="A16" s="45" t="s">
        <v>109</v>
      </c>
      <c r="B16" s="58" t="n">
        <v>71340</v>
      </c>
      <c r="C16" s="58" t="n">
        <v>46440</v>
      </c>
      <c r="D16" s="58" t="n">
        <v>14700</v>
      </c>
    </row>
    <row r="17" customFormat="false" ht="15" hidden="false" customHeight="false" outlineLevel="0" collapsed="false">
      <c r="A17" s="52" t="s">
        <v>110</v>
      </c>
      <c r="B17" s="54" t="n">
        <v>60</v>
      </c>
      <c r="C17" s="54" t="n">
        <v>39</v>
      </c>
      <c r="D17" s="54" t="n">
        <v>12.4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7" activeCellId="1" sqref="A10:E15 F7"/>
    </sheetView>
  </sheetViews>
  <sheetFormatPr defaultColWidth="8.59765625" defaultRowHeight="15" zeroHeight="false" outlineLevelRow="0" outlineLevelCol="0"/>
  <cols>
    <col collapsed="false" customWidth="true" hidden="false" outlineLevel="0" max="1" min="1" style="36" width="45.32"/>
    <col collapsed="false" customWidth="true" hidden="false" outlineLevel="0" max="2" min="2" style="36" width="9.66"/>
    <col collapsed="false" customWidth="true" hidden="false" outlineLevel="0" max="3" min="3" style="36" width="11"/>
    <col collapsed="false" customWidth="true" hidden="false" outlineLevel="0" max="4" min="4" style="36" width="14.07"/>
    <col collapsed="false" customWidth="true" hidden="false" outlineLevel="0" max="5" min="5" style="36" width="14.27"/>
    <col collapsed="false" customWidth="true" hidden="false" outlineLevel="0" max="6" min="6" style="36" width="24.18"/>
  </cols>
  <sheetData>
    <row r="1" customFormat="false" ht="15" hidden="false" customHeight="false" outlineLevel="0" collapsed="false">
      <c r="A1" s="3" t="s">
        <v>111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38" t="s">
        <v>112</v>
      </c>
      <c r="B3" s="38" t="s">
        <v>113</v>
      </c>
      <c r="C3" s="38" t="s">
        <v>114</v>
      </c>
      <c r="D3" s="38" t="s">
        <v>115</v>
      </c>
      <c r="E3" s="38" t="s">
        <v>116</v>
      </c>
      <c r="F3" s="38" t="s">
        <v>117</v>
      </c>
    </row>
    <row r="4" customFormat="false" ht="15" hidden="false" customHeight="false" outlineLevel="0" collapsed="false">
      <c r="A4" s="36" t="s">
        <v>118</v>
      </c>
      <c r="B4" s="36" t="s">
        <v>119</v>
      </c>
      <c r="C4" s="59" t="n">
        <v>50</v>
      </c>
      <c r="D4" s="60" t="n">
        <v>7910</v>
      </c>
      <c r="E4" s="60" t="n">
        <v>15820</v>
      </c>
      <c r="F4" s="61" t="s">
        <v>120</v>
      </c>
    </row>
    <row r="5" customFormat="false" ht="15" hidden="false" customHeight="false" outlineLevel="0" collapsed="false">
      <c r="A5" s="36" t="s">
        <v>121</v>
      </c>
      <c r="B5" s="36" t="s">
        <v>119</v>
      </c>
      <c r="C5" s="59" t="n">
        <v>200</v>
      </c>
      <c r="D5" s="60" t="n">
        <v>8500</v>
      </c>
      <c r="E5" s="60" t="n">
        <v>17000</v>
      </c>
      <c r="F5" s="61" t="s">
        <v>122</v>
      </c>
    </row>
    <row r="6" customFormat="false" ht="15" hidden="false" customHeight="false" outlineLevel="0" collapsed="false">
      <c r="A6" s="36" t="s">
        <v>123</v>
      </c>
      <c r="B6" s="36" t="s">
        <v>119</v>
      </c>
      <c r="C6" s="59" t="n">
        <v>500</v>
      </c>
      <c r="D6" s="60" t="n">
        <v>12060</v>
      </c>
      <c r="E6" s="60" t="n">
        <v>24120</v>
      </c>
      <c r="F6" s="61" t="s">
        <v>124</v>
      </c>
    </row>
    <row r="8" customFormat="false" ht="15" hidden="false" customHeight="false" outlineLevel="0" collapsed="false">
      <c r="A8" s="45" t="s">
        <v>125</v>
      </c>
      <c r="E8" s="62" t="n">
        <f aca="false">SUM(E4:E6)</f>
        <v>56940</v>
      </c>
    </row>
    <row r="10" customFormat="false" ht="15" hidden="false" customHeight="false" outlineLevel="0" collapsed="false">
      <c r="A10" s="45" t="s">
        <v>126</v>
      </c>
    </row>
    <row r="11" customFormat="false" ht="15" hidden="false" customHeight="false" outlineLevel="0" collapsed="false">
      <c r="A11" s="36" t="s">
        <v>127</v>
      </c>
    </row>
    <row r="12" customFormat="false" ht="15" hidden="false" customHeight="false" outlineLevel="0" collapsed="false">
      <c r="A12" s="36" t="s">
        <v>128</v>
      </c>
    </row>
    <row r="13" customFormat="false" ht="15" hidden="false" customHeight="false" outlineLevel="0" collapsed="false">
      <c r="A13" s="36" t="s">
        <v>129</v>
      </c>
    </row>
    <row r="14" customFormat="false" ht="15" hidden="false" customHeight="false" outlineLevel="0" collapsed="false">
      <c r="A14" s="36" t="s">
        <v>130</v>
      </c>
    </row>
    <row r="15" customFormat="false" ht="15" hidden="false" customHeight="false" outlineLevel="0" collapsed="false">
      <c r="A15" s="36" t="s">
        <v>131</v>
      </c>
    </row>
    <row r="16" customFormat="false" ht="15" hidden="false" customHeight="false" outlineLevel="0" collapsed="false">
      <c r="A16" s="36" t="s">
        <v>132</v>
      </c>
    </row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6" activeCellId="1" sqref="A10:E15 A16"/>
    </sheetView>
  </sheetViews>
  <sheetFormatPr defaultColWidth="8.59765625" defaultRowHeight="15" zeroHeight="false" outlineLevelRow="0" outlineLevelCol="0"/>
  <cols>
    <col collapsed="false" customWidth="true" hidden="false" outlineLevel="0" max="1" min="1" style="36" width="50.43"/>
    <col collapsed="false" customWidth="true" hidden="false" outlineLevel="0" max="5" min="2" style="36" width="18"/>
    <col collapsed="false" customWidth="true" hidden="false" outlineLevel="0" max="6" min="6" style="36" width="25"/>
  </cols>
  <sheetData>
    <row r="1" customFormat="false" ht="15" hidden="false" customHeight="false" outlineLevel="0" collapsed="false">
      <c r="A1" s="63" t="s">
        <v>133</v>
      </c>
    </row>
    <row r="3" customFormat="false" ht="15" hidden="false" customHeight="false" outlineLevel="0" collapsed="false">
      <c r="A3" s="45" t="s">
        <v>134</v>
      </c>
    </row>
    <row r="4" customFormat="false" ht="15" hidden="false" customHeight="false" outlineLevel="0" collapsed="false">
      <c r="A4" s="64" t="s">
        <v>135</v>
      </c>
    </row>
    <row r="5" customFormat="false" ht="15" hidden="false" customHeight="false" outlineLevel="0" collapsed="false">
      <c r="A5" s="64" t="s">
        <v>136</v>
      </c>
    </row>
    <row r="6" customFormat="false" ht="15" hidden="false" customHeight="false" outlineLevel="0" collapsed="false">
      <c r="A6" s="64" t="s">
        <v>137</v>
      </c>
    </row>
    <row r="7" customFormat="false" ht="15" hidden="false" customHeight="false" outlineLevel="0" collapsed="false">
      <c r="A7" s="64" t="s">
        <v>138</v>
      </c>
    </row>
    <row r="8" customFormat="false" ht="15" hidden="false" customHeight="false" outlineLevel="0" collapsed="false">
      <c r="A8" s="64" t="s">
        <v>139</v>
      </c>
    </row>
    <row r="9" customFormat="false" ht="15" hidden="false" customHeight="false" outlineLevel="0" collapsed="false">
      <c r="A9" s="45" t="s">
        <v>140</v>
      </c>
    </row>
    <row r="10" customFormat="false" ht="15" hidden="false" customHeight="false" outlineLevel="0" collapsed="false">
      <c r="A10" s="64" t="s">
        <v>141</v>
      </c>
    </row>
    <row r="11" customFormat="false" ht="15" hidden="false" customHeight="false" outlineLevel="0" collapsed="false">
      <c r="A11" s="64" t="s">
        <v>142</v>
      </c>
    </row>
    <row r="12" customFormat="false" ht="15" hidden="false" customHeight="false" outlineLevel="0" collapsed="false">
      <c r="A12" s="64" t="s">
        <v>143</v>
      </c>
    </row>
    <row r="13" customFormat="false" ht="15" hidden="false" customHeight="false" outlineLevel="0" collapsed="false">
      <c r="A13" s="64" t="s">
        <v>144</v>
      </c>
    </row>
    <row r="14" customFormat="false" ht="15" hidden="false" customHeight="false" outlineLevel="0" collapsed="false">
      <c r="A14" s="64" t="s">
        <v>145</v>
      </c>
    </row>
    <row r="15" customFormat="false" ht="15" hidden="false" customHeight="false" outlineLevel="0" collapsed="false">
      <c r="A15" s="45" t="s">
        <v>146</v>
      </c>
    </row>
    <row r="16" customFormat="false" ht="15" hidden="false" customHeight="false" outlineLevel="0" collapsed="false">
      <c r="A16" s="64" t="s">
        <v>147</v>
      </c>
    </row>
    <row r="17" customFormat="false" ht="15" hidden="false" customHeight="false" outlineLevel="0" collapsed="false">
      <c r="A17" s="64" t="s">
        <v>148</v>
      </c>
    </row>
    <row r="18" customFormat="false" ht="15" hidden="false" customHeight="false" outlineLevel="0" collapsed="false">
      <c r="A18" s="64" t="s">
        <v>149</v>
      </c>
    </row>
    <row r="19" customFormat="false" ht="15" hidden="false" customHeight="false" outlineLevel="0" collapsed="false">
      <c r="A19" s="64" t="s">
        <v>150</v>
      </c>
    </row>
    <row r="20" customFormat="false" ht="15" hidden="false" customHeight="false" outlineLevel="0" collapsed="false">
      <c r="A20" s="64" t="s">
        <v>151</v>
      </c>
    </row>
    <row r="21" customFormat="false" ht="15" hidden="false" customHeight="false" outlineLevel="0" collapsed="false">
      <c r="A21" s="6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2026-06-02T10:43:21Z</dcterms:created>
  <dc:creator>openpyxl</dc:creator>
  <dc:description/>
  <dc:language>en-US</dc:language>
  <cp:lastModifiedBy/>
  <dcterms:modified xsi:type="dcterms:W3CDTF">2026-06-02T18:28:18Z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