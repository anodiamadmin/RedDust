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Objects="none" defaultThemeVersion="153222"/>
  <mc:AlternateContent xmlns:mc="http://schemas.openxmlformats.org/markup-compatibility/2006">
    <mc:Choice Requires="x15">
      <x15ac:absPath xmlns:x15ac="http://schemas.microsoft.com/office/spreadsheetml/2010/11/ac" url="D:\RedDust\Docs\"/>
    </mc:Choice>
  </mc:AlternateContent>
  <bookViews>
    <workbookView xWindow="0" yWindow="0" windowWidth="19200" windowHeight="7313" activeTab="2"/>
  </bookViews>
  <sheets>
    <sheet name="MVP" sheetId="4" r:id="rId1"/>
    <sheet name="Beta" sheetId="6" r:id="rId2"/>
    <sheet name="R_1.0" sheetId="5" r:id="rId3"/>
    <sheet name="Growth_Phase" sheetId="2" r:id="rId4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1" i="5" l="1"/>
  <c r="M51" i="5" s="1"/>
  <c r="K50" i="5"/>
  <c r="M50" i="5" s="1"/>
  <c r="K49" i="5"/>
  <c r="M49" i="5" s="1"/>
  <c r="K48" i="5"/>
  <c r="M48" i="5" s="1"/>
  <c r="K47" i="5"/>
  <c r="M47" i="5" s="1"/>
  <c r="K46" i="5"/>
  <c r="M46" i="5" s="1"/>
  <c r="K45" i="5"/>
  <c r="M45" i="5" s="1"/>
  <c r="K44" i="5"/>
  <c r="M44" i="5" s="1"/>
  <c r="M52" i="5" s="1"/>
  <c r="K42" i="5"/>
  <c r="M42" i="5" s="1"/>
  <c r="K41" i="5"/>
  <c r="M41" i="5" s="1"/>
  <c r="K40" i="5"/>
  <c r="M40" i="5" s="1"/>
  <c r="K39" i="5"/>
  <c r="M39" i="5" s="1"/>
  <c r="M43" i="5" s="1"/>
  <c r="K37" i="5"/>
  <c r="M37" i="5" s="1"/>
  <c r="K36" i="5"/>
  <c r="M36" i="5" s="1"/>
  <c r="K35" i="5"/>
  <c r="M35" i="5" s="1"/>
  <c r="K34" i="5"/>
  <c r="M34" i="5" s="1"/>
  <c r="K33" i="5"/>
  <c r="M33" i="5" s="1"/>
  <c r="K32" i="5"/>
  <c r="M32" i="5" s="1"/>
  <c r="K30" i="5"/>
  <c r="M30" i="5" s="1"/>
  <c r="K29" i="5"/>
  <c r="M29" i="5" s="1"/>
  <c r="K28" i="5"/>
  <c r="M28" i="5" s="1"/>
  <c r="K27" i="5"/>
  <c r="M27" i="5" s="1"/>
  <c r="K26" i="5"/>
  <c r="M26" i="5" s="1"/>
  <c r="J21" i="5"/>
  <c r="I21" i="5"/>
  <c r="H21" i="5"/>
  <c r="G21" i="5"/>
  <c r="F21" i="5"/>
  <c r="E21" i="5"/>
  <c r="K20" i="5"/>
  <c r="K19" i="5"/>
  <c r="K18" i="5"/>
  <c r="K17" i="5"/>
  <c r="J15" i="5"/>
  <c r="I15" i="5"/>
  <c r="H15" i="5"/>
  <c r="G15" i="5"/>
  <c r="F15" i="5"/>
  <c r="E15" i="5"/>
  <c r="K14" i="5"/>
  <c r="M14" i="5" s="1"/>
  <c r="K13" i="5"/>
  <c r="M13" i="5" s="1"/>
  <c r="K12" i="5"/>
  <c r="M12" i="5" s="1"/>
  <c r="K11" i="5"/>
  <c r="M11" i="5" s="1"/>
  <c r="K10" i="5"/>
  <c r="M10" i="5" s="1"/>
  <c r="K9" i="5"/>
  <c r="M9" i="5" s="1"/>
  <c r="K8" i="5"/>
  <c r="M8" i="5" s="1"/>
  <c r="K7" i="5"/>
  <c r="M7" i="5" s="1"/>
  <c r="K6" i="5"/>
  <c r="M6" i="5" s="1"/>
  <c r="K5" i="5"/>
  <c r="M5" i="5" s="1"/>
  <c r="K4" i="5"/>
  <c r="M4" i="5" s="1"/>
  <c r="K3" i="5"/>
  <c r="M3" i="5" s="1"/>
  <c r="H24" i="6"/>
  <c r="F22" i="2"/>
  <c r="G22" i="2"/>
  <c r="H22" i="2"/>
  <c r="I22" i="2"/>
  <c r="J22" i="2"/>
  <c r="E22" i="2"/>
  <c r="F16" i="2"/>
  <c r="G16" i="2"/>
  <c r="H16" i="2"/>
  <c r="I16" i="2"/>
  <c r="K14" i="2"/>
  <c r="M14" i="2" s="1"/>
  <c r="K21" i="2"/>
  <c r="K20" i="2"/>
  <c r="K19" i="2"/>
  <c r="K18" i="2"/>
  <c r="J16" i="2"/>
  <c r="E16" i="2"/>
  <c r="K15" i="2"/>
  <c r="M15" i="2" s="1"/>
  <c r="K13" i="2"/>
  <c r="M13" i="2" s="1"/>
  <c r="K12" i="2"/>
  <c r="M12" i="2" s="1"/>
  <c r="K11" i="2"/>
  <c r="M11" i="2" s="1"/>
  <c r="K10" i="2"/>
  <c r="M10" i="2" s="1"/>
  <c r="K9" i="2"/>
  <c r="M9" i="2" s="1"/>
  <c r="K8" i="2"/>
  <c r="M8" i="2" s="1"/>
  <c r="K7" i="2"/>
  <c r="M7" i="2" s="1"/>
  <c r="K6" i="2"/>
  <c r="M6" i="2" s="1"/>
  <c r="K5" i="2"/>
  <c r="M5" i="2" s="1"/>
  <c r="K4" i="2"/>
  <c r="M4" i="2" s="1"/>
  <c r="K3" i="2"/>
  <c r="H19" i="6"/>
  <c r="H20" i="6"/>
  <c r="J14" i="6"/>
  <c r="J5" i="6"/>
  <c r="J6" i="6"/>
  <c r="J7" i="6"/>
  <c r="J8" i="6"/>
  <c r="J9" i="6"/>
  <c r="J10" i="6"/>
  <c r="J11" i="6"/>
  <c r="J12" i="6"/>
  <c r="J13" i="6"/>
  <c r="J3" i="6"/>
  <c r="H13" i="6"/>
  <c r="H9" i="6"/>
  <c r="H7" i="6"/>
  <c r="G21" i="6"/>
  <c r="F21" i="6"/>
  <c r="E21" i="6"/>
  <c r="H18" i="6"/>
  <c r="H17" i="6"/>
  <c r="G15" i="6"/>
  <c r="F15" i="6"/>
  <c r="E15" i="6"/>
  <c r="H14" i="6"/>
  <c r="H12" i="6"/>
  <c r="H11" i="6"/>
  <c r="H10" i="6"/>
  <c r="H8" i="6"/>
  <c r="H6" i="6"/>
  <c r="H5" i="6"/>
  <c r="H4" i="6"/>
  <c r="J4" i="6" s="1"/>
  <c r="H3" i="6"/>
  <c r="J12" i="4"/>
  <c r="F17" i="4"/>
  <c r="G17" i="4"/>
  <c r="H17" i="4"/>
  <c r="I17" i="4"/>
  <c r="E17" i="4"/>
  <c r="F12" i="4"/>
  <c r="G12" i="4"/>
  <c r="H12" i="4"/>
  <c r="E12" i="4"/>
  <c r="I15" i="4"/>
  <c r="I14" i="4"/>
  <c r="I4" i="4"/>
  <c r="I5" i="4"/>
  <c r="I6" i="4"/>
  <c r="I7" i="4"/>
  <c r="I8" i="4"/>
  <c r="I9" i="4"/>
  <c r="I10" i="4"/>
  <c r="I11" i="4"/>
  <c r="I3" i="4"/>
  <c r="I18" i="4" l="1"/>
  <c r="I20" i="4" s="1"/>
  <c r="K21" i="5"/>
  <c r="M15" i="5"/>
  <c r="K22" i="5" s="1"/>
  <c r="M31" i="5"/>
  <c r="M38" i="5"/>
  <c r="K15" i="5"/>
  <c r="K31" i="5"/>
  <c r="K43" i="5"/>
  <c r="K38" i="5"/>
  <c r="K52" i="5"/>
  <c r="K22" i="2"/>
  <c r="K16" i="2"/>
  <c r="M3" i="2"/>
  <c r="M16" i="2" s="1"/>
  <c r="H21" i="6"/>
  <c r="J15" i="6"/>
  <c r="H22" i="6" s="1"/>
  <c r="H15" i="6"/>
  <c r="I12" i="4"/>
  <c r="K23" i="2" l="1"/>
  <c r="M53" i="5"/>
  <c r="M55" i="5" s="1"/>
  <c r="K53" i="5"/>
  <c r="K55" i="5" l="1"/>
</calcChain>
</file>

<file path=xl/sharedStrings.xml><?xml version="1.0" encoding="utf-8"?>
<sst xmlns="http://schemas.openxmlformats.org/spreadsheetml/2006/main" count="227" uniqueCount="116">
  <si>
    <t>AI Developer</t>
  </si>
  <si>
    <t>Resource</t>
  </si>
  <si>
    <t>Topic</t>
  </si>
  <si>
    <t>Expense Head</t>
  </si>
  <si>
    <t>LLM + Speech + Vision + Embeddings + Agent etc.</t>
  </si>
  <si>
    <t>Compute + DB + Security + Deployment etc.</t>
  </si>
  <si>
    <t>Agentic AI, Full Stack, Cloud-dev-sec-ops, QA, PM</t>
  </si>
  <si>
    <t>Production Support</t>
  </si>
  <si>
    <t>Mid Level Tech Lead</t>
  </si>
  <si>
    <t>Intern AI Developer</t>
  </si>
  <si>
    <t>Intern Full Stack Developer</t>
  </si>
  <si>
    <t>Agentic AI</t>
  </si>
  <si>
    <t>Fast API, React Native, DBMS</t>
  </si>
  <si>
    <t>Cloud, DevOps, Cyber Security</t>
  </si>
  <si>
    <t>Competency</t>
  </si>
  <si>
    <t>Au$/ Hour</t>
  </si>
  <si>
    <t>Intern Business Analyst</t>
  </si>
  <si>
    <t>Intern QA Automation</t>
  </si>
  <si>
    <t>Intern Cloud-DevOps Developer</t>
  </si>
  <si>
    <t>Intern Cyber Security Developer</t>
  </si>
  <si>
    <t>Automation Testing</t>
  </si>
  <si>
    <t>Agile BA</t>
  </si>
  <si>
    <t>Cloud, DevOps</t>
  </si>
  <si>
    <t>Cyber Security</t>
  </si>
  <si>
    <t>Senior Architect</t>
  </si>
  <si>
    <t>Intern Scrum Master</t>
  </si>
  <si>
    <t>Agile Scrum</t>
  </si>
  <si>
    <t>Dev AI Tokens</t>
  </si>
  <si>
    <t>Dev Cloud Infrastructure</t>
  </si>
  <si>
    <t>Total</t>
  </si>
  <si>
    <t>Discounted Cost</t>
  </si>
  <si>
    <t>Discount %</t>
  </si>
  <si>
    <t>Junior Scrum Master</t>
  </si>
  <si>
    <t>Junior Full Stack Developer</t>
  </si>
  <si>
    <t>Junior AI Developer</t>
  </si>
  <si>
    <t>Junior Cloud-DevSecOps Developer</t>
  </si>
  <si>
    <t>Intern Cloud-DevSecOps Developer</t>
  </si>
  <si>
    <t>Junior QA Automation</t>
  </si>
  <si>
    <t>Agile Scrum, BA</t>
  </si>
  <si>
    <t>Prod AI Tokens (50 users)</t>
  </si>
  <si>
    <t>Prod Cloud Infrastructure (50 users)</t>
  </si>
  <si>
    <t>MVP Release Oct-26: 50 Beta Users</t>
  </si>
  <si>
    <t>Beta Release Jan-27: 500 Beta Users</t>
  </si>
  <si>
    <t>Prod AI Tokens (500 users)</t>
  </si>
  <si>
    <t>Prod Cloud Infrastructure (500 users)</t>
  </si>
  <si>
    <t>Final Dev Cost</t>
  </si>
  <si>
    <t>Lead Produstion Support</t>
  </si>
  <si>
    <t>Support</t>
  </si>
  <si>
    <t>Support Lead</t>
  </si>
  <si>
    <t>Scrum Master</t>
  </si>
  <si>
    <t>Business Analyst</t>
  </si>
  <si>
    <t>Full Stack Developer</t>
  </si>
  <si>
    <t>Tech Lead</t>
  </si>
  <si>
    <t>Cloud-DevSecOps Developer</t>
  </si>
  <si>
    <t>QA Automation</t>
  </si>
  <si>
    <t>Cost/ Month</t>
  </si>
  <si>
    <t>R_1.0 Release Jun-27: 5,000 Production Users</t>
  </si>
  <si>
    <t>R_1.0 Additional Cost Heads (Jan-27 to Jun-27)</t>
  </si>
  <si>
    <t>Expense/ Resource</t>
  </si>
  <si>
    <t>Topic/ Assumption</t>
  </si>
  <si>
    <t>Digital Marketing Lead</t>
  </si>
  <si>
    <t>Paid acquisition, campaign management, analytics</t>
  </si>
  <si>
    <t>Social Media Manager</t>
  </si>
  <si>
    <t>Daily posts, community engagement, short content</t>
  </si>
  <si>
    <t>Content Creator / Copywriter</t>
  </si>
  <si>
    <t>Blogs, app-store copy, campaign messaging</t>
  </si>
  <si>
    <t>SEO / ASO Specialist</t>
  </si>
  <si>
    <t>App-store optimisation and search content</t>
  </si>
  <si>
    <t>Graphic Designer</t>
  </si>
  <si>
    <t>Ads, social creatives, landing page assets</t>
  </si>
  <si>
    <t>Marketing Team Cost</t>
  </si>
  <si>
    <t>Meta Ads</t>
  </si>
  <si>
    <t>Instagram/Facebook acquisition</t>
  </si>
  <si>
    <t>Google UAC/ App Campaigns</t>
  </si>
  <si>
    <t>Android app install acquisition</t>
  </si>
  <si>
    <t>TikTok Ads</t>
  </si>
  <si>
    <t>18–30 demographic, short-form awareness</t>
  </si>
  <si>
    <t>YouTube Pre-roll</t>
  </si>
  <si>
    <t>Music/wellness contextual video ads</t>
  </si>
  <si>
    <t>Reddit/ LinkedIn Ads</t>
  </si>
  <si>
    <t>UNSW, startup, professionals &amp; wellbeing communities</t>
  </si>
  <si>
    <t>Micro-influencers</t>
  </si>
  <si>
    <t>Small wellness/music creators and paid collaborations</t>
  </si>
  <si>
    <t>Ad Platform Spend</t>
  </si>
  <si>
    <t>Canva Pro</t>
  </si>
  <si>
    <t>Design tool subscription</t>
  </si>
  <si>
    <t>Buffer/ Hootsuite</t>
  </si>
  <si>
    <t>Social media scheduling</t>
  </si>
  <si>
    <t>Mailchimp/ Brevo</t>
  </si>
  <si>
    <t>Email marketing and beta-user updates</t>
  </si>
  <si>
    <t>Semrush/ Ahrefs Lite</t>
  </si>
  <si>
    <t>Light SEO/ASO keyword research</t>
  </si>
  <si>
    <t>Tools &amp; Subscriptions</t>
  </si>
  <si>
    <t>Admin/ Operations Coordinator</t>
  </si>
  <si>
    <t>Admin support, vendor coordination, reporting</t>
  </si>
  <si>
    <t>HR/ People Coordinator</t>
  </si>
  <si>
    <t>Intern onboarding, HR coordination, basic policies</t>
  </si>
  <si>
    <t>Legal setup &amp; compliance</t>
  </si>
  <si>
    <t>Privacy, T&amp;C, disclaimers, AU Privacy Act/ GDPR readiness</t>
  </si>
  <si>
    <t>Ongoing legal retainer</t>
  </si>
  <si>
    <t>Light legal review and risk/compliance support</t>
  </si>
  <si>
    <t>Music licensing/ content source</t>
  </si>
  <si>
    <t>Epidemic/Artlist licence + APRA-style royalty allowance</t>
  </si>
  <si>
    <t>Psychologist/ Wellbeing SME</t>
  </si>
  <si>
    <t>Content and AI wellbeing-flow review</t>
  </si>
  <si>
    <t>App Store/ Play Store fees</t>
  </si>
  <si>
    <t>Developer accounts and launch-related platform fees</t>
  </si>
  <si>
    <t>Accounting &amp; Finance</t>
  </si>
  <si>
    <t>Xero/bookkeeping/tax/BAS allowance</t>
  </si>
  <si>
    <t>Admin, HR, Legal, Music &amp; Other</t>
  </si>
  <si>
    <t>Total Additional R_1.0 Costs</t>
  </si>
  <si>
    <t>Revised R_1.0 Total Cost</t>
  </si>
  <si>
    <t>Existing Final Dev Cost + Total Additional R_1.0 Costs</t>
  </si>
  <si>
    <t>Model notes: people-cost rows use Au$/ hour × FTE × 160 hours/ month × 6 months, then apply discount %. Fixed-spend rows use monthly cash estimates. Music licensing is a midpoint placeholder and should be validated before launch.</t>
  </si>
  <si>
    <t>Growth Phase Jan-28: 100,000 Users</t>
  </si>
  <si>
    <t>Estimated Production User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</si>
</sst>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\$#,##0"/>
    <numFmt numFmtId="165" formatCode="#,##0.0;[Red]\(#,##0.0\);\-"/>
    <numFmt numFmtId="166" formatCode="\$#,##0;[Red]\(\$#,##0\);\-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FF"/>
      <name val="Calibri"/>
      <family val="2"/>
    </font>
    <font>
      <i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5422223578601"/>
        <bgColor indexed="65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right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right" vertical="top" wrapText="1"/>
    </xf>
    <xf numFmtId="0" fontId="0" fillId="0" borderId="10" xfId="0" applyBorder="1" applyAlignment="1">
      <alignment horizontal="left" vertical="top" wrapText="1"/>
    </xf>
    <xf numFmtId="0" fontId="0" fillId="0" borderId="10" xfId="0" applyBorder="1" applyAlignment="1">
      <alignment horizontal="right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right" vertical="top" wrapText="1"/>
    </xf>
    <xf numFmtId="3" fontId="0" fillId="0" borderId="6" xfId="0" applyNumberFormat="1" applyBorder="1" applyAlignment="1">
      <alignment horizontal="right" vertical="top" wrapText="1"/>
    </xf>
    <xf numFmtId="3" fontId="0" fillId="0" borderId="8" xfId="0" applyNumberFormat="1" applyBorder="1" applyAlignment="1">
      <alignment horizontal="right" vertical="top" wrapText="1"/>
    </xf>
    <xf numFmtId="3" fontId="0" fillId="0" borderId="11" xfId="0" applyNumberFormat="1" applyBorder="1" applyAlignment="1">
      <alignment horizontal="right" vertical="top" wrapText="1"/>
    </xf>
    <xf numFmtId="0" fontId="0" fillId="0" borderId="22" xfId="0" applyBorder="1" applyAlignment="1">
      <alignment horizontal="right" vertical="top" wrapText="1"/>
    </xf>
    <xf numFmtId="0" fontId="0" fillId="0" borderId="25" xfId="0" applyBorder="1" applyAlignment="1">
      <alignment horizontal="right" vertical="top" wrapText="1"/>
    </xf>
    <xf numFmtId="0" fontId="0" fillId="0" borderId="27" xfId="0" applyBorder="1" applyAlignment="1">
      <alignment horizontal="right" vertical="top" wrapText="1"/>
    </xf>
    <xf numFmtId="0" fontId="2" fillId="2" borderId="31" xfId="0" applyFont="1" applyFill="1" applyBorder="1" applyAlignment="1">
      <alignment horizontal="center" vertical="top" wrapText="1"/>
    </xf>
    <xf numFmtId="17" fontId="2" fillId="2" borderId="31" xfId="0" applyNumberFormat="1" applyFont="1" applyFill="1" applyBorder="1" applyAlignment="1">
      <alignment horizontal="center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right" vertical="top" wrapText="1"/>
    </xf>
    <xf numFmtId="0" fontId="0" fillId="0" borderId="9" xfId="0" applyBorder="1" applyAlignment="1">
      <alignment horizontal="left" vertical="top" wrapText="1"/>
    </xf>
    <xf numFmtId="0" fontId="0" fillId="0" borderId="11" xfId="0" applyBorder="1" applyAlignment="1">
      <alignment horizontal="right" vertical="top" wrapText="1"/>
    </xf>
    <xf numFmtId="0" fontId="0" fillId="0" borderId="29" xfId="0" applyBorder="1" applyAlignment="1">
      <alignment horizontal="left" vertical="top" wrapText="1"/>
    </xf>
    <xf numFmtId="0" fontId="2" fillId="2" borderId="40" xfId="0" applyFont="1" applyFill="1" applyBorder="1" applyAlignment="1">
      <alignment horizontal="center" vertical="top" wrapText="1"/>
    </xf>
    <xf numFmtId="0" fontId="2" fillId="2" borderId="15" xfId="0" applyFont="1" applyFill="1" applyBorder="1" applyAlignment="1">
      <alignment horizontal="center" vertical="top" wrapText="1"/>
    </xf>
    <xf numFmtId="0" fontId="0" fillId="0" borderId="38" xfId="0" applyBorder="1" applyAlignment="1">
      <alignment horizontal="right" vertical="top" wrapText="1"/>
    </xf>
    <xf numFmtId="0" fontId="2" fillId="0" borderId="39" xfId="0" applyFont="1" applyBorder="1" applyAlignment="1">
      <alignment horizontal="right" vertical="top" wrapText="1"/>
    </xf>
    <xf numFmtId="0" fontId="0" fillId="0" borderId="4" xfId="0" applyBorder="1" applyAlignment="1">
      <alignment horizontal="left" vertical="top" wrapText="1"/>
    </xf>
    <xf numFmtId="0" fontId="0" fillId="0" borderId="6" xfId="0" applyBorder="1" applyAlignment="1">
      <alignment horizontal="right" vertical="top" wrapText="1"/>
    </xf>
    <xf numFmtId="17" fontId="2" fillId="2" borderId="41" xfId="0" applyNumberFormat="1" applyFont="1" applyFill="1" applyBorder="1" applyAlignment="1">
      <alignment horizontal="center" vertical="top" wrapText="1"/>
    </xf>
    <xf numFmtId="0" fontId="0" fillId="0" borderId="42" xfId="0" applyBorder="1" applyAlignment="1">
      <alignment horizontal="right" vertical="top" wrapText="1"/>
    </xf>
    <xf numFmtId="0" fontId="0" fillId="0" borderId="37" xfId="0" applyBorder="1" applyAlignment="1">
      <alignment horizontal="right" vertical="top" wrapText="1"/>
    </xf>
    <xf numFmtId="0" fontId="2" fillId="2" borderId="20" xfId="0" applyFont="1" applyFill="1" applyBorder="1" applyAlignment="1">
      <alignment horizontal="center" vertical="top" wrapText="1"/>
    </xf>
    <xf numFmtId="0" fontId="0" fillId="0" borderId="23" xfId="0" applyBorder="1" applyAlignment="1">
      <alignment horizontal="right" vertical="top" wrapText="1"/>
    </xf>
    <xf numFmtId="0" fontId="0" fillId="0" borderId="26" xfId="0" applyBorder="1" applyAlignment="1">
      <alignment horizontal="right" vertical="top" wrapText="1"/>
    </xf>
    <xf numFmtId="0" fontId="0" fillId="0" borderId="24" xfId="0" applyBorder="1" applyAlignment="1">
      <alignment horizontal="right" vertical="top" wrapText="1"/>
    </xf>
    <xf numFmtId="0" fontId="2" fillId="0" borderId="21" xfId="0" applyFont="1" applyBorder="1" applyAlignment="1">
      <alignment horizontal="right" vertical="top" wrapText="1"/>
    </xf>
    <xf numFmtId="0" fontId="3" fillId="2" borderId="32" xfId="0" applyFont="1" applyFill="1" applyBorder="1" applyAlignment="1">
      <alignment horizontal="right" vertical="top" wrapText="1"/>
    </xf>
    <xf numFmtId="0" fontId="2" fillId="2" borderId="28" xfId="0" applyFont="1" applyFill="1" applyBorder="1" applyAlignment="1">
      <alignment horizontal="center" vertical="top" wrapText="1"/>
    </xf>
    <xf numFmtId="0" fontId="0" fillId="0" borderId="21" xfId="0" applyBorder="1" applyAlignment="1">
      <alignment horizontal="right" vertical="top" wrapText="1"/>
    </xf>
    <xf numFmtId="3" fontId="0" fillId="0" borderId="5" xfId="0" applyNumberFormat="1" applyBorder="1" applyAlignment="1">
      <alignment horizontal="right" vertical="top" wrapText="1"/>
    </xf>
    <xf numFmtId="3" fontId="0" fillId="0" borderId="23" xfId="0" applyNumberFormat="1" applyBorder="1" applyAlignment="1">
      <alignment horizontal="right" vertical="top" wrapText="1"/>
    </xf>
    <xf numFmtId="3" fontId="0" fillId="0" borderId="43" xfId="0" applyNumberFormat="1" applyBorder="1" applyAlignment="1">
      <alignment horizontal="right" vertical="top" wrapText="1"/>
    </xf>
    <xf numFmtId="3" fontId="0" fillId="0" borderId="1" xfId="0" applyNumberFormat="1" applyBorder="1" applyAlignment="1">
      <alignment horizontal="right" vertical="top" wrapText="1"/>
    </xf>
    <xf numFmtId="3" fontId="0" fillId="0" borderId="26" xfId="0" applyNumberFormat="1" applyBorder="1" applyAlignment="1">
      <alignment horizontal="right" vertical="top" wrapText="1"/>
    </xf>
    <xf numFmtId="3" fontId="0" fillId="0" borderId="44" xfId="0" applyNumberFormat="1" applyBorder="1" applyAlignment="1">
      <alignment horizontal="right" vertical="top" wrapText="1"/>
    </xf>
    <xf numFmtId="3" fontId="0" fillId="0" borderId="30" xfId="0" applyNumberFormat="1" applyBorder="1" applyAlignment="1">
      <alignment horizontal="right" vertical="top" wrapText="1"/>
    </xf>
    <xf numFmtId="3" fontId="0" fillId="0" borderId="46" xfId="0" applyNumberFormat="1" applyBorder="1" applyAlignment="1">
      <alignment horizontal="right" vertical="top" wrapText="1"/>
    </xf>
    <xf numFmtId="3" fontId="0" fillId="0" borderId="10" xfId="0" applyNumberFormat="1" applyBorder="1" applyAlignment="1">
      <alignment horizontal="right" vertical="top" wrapText="1"/>
    </xf>
    <xf numFmtId="3" fontId="0" fillId="0" borderId="24" xfId="0" applyNumberFormat="1" applyBorder="1" applyAlignment="1">
      <alignment horizontal="right" vertical="top" wrapText="1"/>
    </xf>
    <xf numFmtId="3" fontId="0" fillId="0" borderId="45" xfId="0" applyNumberFormat="1" applyBorder="1" applyAlignment="1">
      <alignment horizontal="right" vertical="top" wrapText="1"/>
    </xf>
    <xf numFmtId="3" fontId="0" fillId="0" borderId="38" xfId="0" applyNumberFormat="1" applyBorder="1" applyAlignment="1">
      <alignment horizontal="right" vertical="top" wrapText="1"/>
    </xf>
    <xf numFmtId="3" fontId="2" fillId="0" borderId="21" xfId="0" applyNumberFormat="1" applyFont="1" applyBorder="1" applyAlignment="1">
      <alignment horizontal="right" vertical="top" wrapText="1"/>
    </xf>
    <xf numFmtId="3" fontId="3" fillId="2" borderId="32" xfId="0" applyNumberFormat="1" applyFont="1" applyFill="1" applyBorder="1" applyAlignment="1">
      <alignment horizontal="right" vertical="top" wrapText="1"/>
    </xf>
    <xf numFmtId="3" fontId="2" fillId="0" borderId="32" xfId="0" applyNumberFormat="1" applyFont="1" applyBorder="1" applyAlignment="1">
      <alignment horizontal="right" vertical="top" wrapText="1"/>
    </xf>
    <xf numFmtId="3" fontId="0" fillId="0" borderId="21" xfId="0" applyNumberFormat="1" applyFont="1" applyBorder="1" applyAlignment="1">
      <alignment horizontal="right" vertical="top" wrapText="1"/>
    </xf>
    <xf numFmtId="3" fontId="0" fillId="0" borderId="34" xfId="0" applyNumberFormat="1" applyBorder="1" applyAlignment="1">
      <alignment horizontal="right" vertical="top" wrapText="1"/>
    </xf>
    <xf numFmtId="3" fontId="0" fillId="0" borderId="0" xfId="0" applyNumberFormat="1" applyAlignment="1">
      <alignment horizontal="left" vertical="top" wrapText="1"/>
    </xf>
    <xf numFmtId="3" fontId="0" fillId="0" borderId="4" xfId="0" applyNumberFormat="1" applyBorder="1" applyAlignment="1">
      <alignment horizontal="left" vertical="top" wrapText="1"/>
    </xf>
    <xf numFmtId="3" fontId="0" fillId="0" borderId="7" xfId="0" applyNumberFormat="1" applyBorder="1" applyAlignment="1">
      <alignment horizontal="left" vertical="top" wrapText="1"/>
    </xf>
    <xf numFmtId="3" fontId="0" fillId="0" borderId="9" xfId="0" applyNumberFormat="1" applyBorder="1" applyAlignment="1">
      <alignment horizontal="left" vertical="top" wrapText="1"/>
    </xf>
    <xf numFmtId="0" fontId="5" fillId="5" borderId="40" xfId="0" applyFont="1" applyFill="1" applyBorder="1" applyAlignment="1">
      <alignment horizontal="center" vertical="top" wrapText="1"/>
    </xf>
    <xf numFmtId="0" fontId="5" fillId="5" borderId="31" xfId="0" applyFont="1" applyFill="1" applyBorder="1" applyAlignment="1">
      <alignment horizontal="center" vertical="top" wrapText="1"/>
    </xf>
    <xf numFmtId="17" fontId="5" fillId="5" borderId="31" xfId="0" applyNumberFormat="1" applyFont="1" applyFill="1" applyBorder="1" applyAlignment="1">
      <alignment horizontal="center" vertical="top" wrapText="1"/>
    </xf>
    <xf numFmtId="0" fontId="5" fillId="5" borderId="20" xfId="0" applyFont="1" applyFill="1" applyBorder="1" applyAlignment="1">
      <alignment horizontal="center" vertical="top" wrapText="1"/>
    </xf>
    <xf numFmtId="0" fontId="5" fillId="5" borderId="28" xfId="0" applyFont="1" applyFill="1" applyBorder="1" applyAlignment="1">
      <alignment horizontal="center" vertical="top" wrapText="1"/>
    </xf>
    <xf numFmtId="0" fontId="5" fillId="5" borderId="15" xfId="0" applyFont="1" applyFill="1" applyBorder="1" applyAlignment="1">
      <alignment horizontal="center" vertical="top" wrapText="1"/>
    </xf>
    <xf numFmtId="3" fontId="5" fillId="0" borderId="21" xfId="0" applyNumberFormat="1" applyFont="1" applyBorder="1" applyAlignment="1">
      <alignment horizontal="right" vertical="top" wrapText="1"/>
    </xf>
    <xf numFmtId="3" fontId="5" fillId="0" borderId="32" xfId="0" applyNumberFormat="1" applyFont="1" applyBorder="1" applyAlignment="1">
      <alignment horizontal="right" vertical="top" wrapText="1"/>
    </xf>
    <xf numFmtId="3" fontId="6" fillId="5" borderId="32" xfId="0" applyNumberFormat="1" applyFont="1" applyFill="1" applyBorder="1" applyAlignment="1">
      <alignment horizontal="right" vertical="top" wrapText="1"/>
    </xf>
    <xf numFmtId="0" fontId="0" fillId="0" borderId="1" xfId="0" applyNumberFormat="1" applyFont="1" applyFill="1" applyBorder="1" applyAlignment="1">
      <alignment vertical="top" wrapText="1"/>
    </xf>
    <xf numFmtId="164" fontId="9" fillId="0" borderId="1" xfId="0" applyNumberFormat="1" applyFont="1" applyFill="1" applyBorder="1" applyAlignment="1">
      <alignment vertical="top" wrapText="1"/>
    </xf>
    <xf numFmtId="0" fontId="10" fillId="0" borderId="1" xfId="0" applyNumberFormat="1" applyFont="1" applyFill="1" applyBorder="1" applyAlignment="1">
      <alignment vertical="top" wrapText="1"/>
    </xf>
    <xf numFmtId="165" fontId="9" fillId="0" borderId="1" xfId="0" applyNumberFormat="1" applyFont="1" applyFill="1" applyBorder="1" applyAlignment="1">
      <alignment horizontal="right"/>
    </xf>
    <xf numFmtId="166" fontId="11" fillId="0" borderId="1" xfId="0" applyNumberFormat="1" applyFont="1" applyFill="1" applyBorder="1" applyAlignment="1">
      <alignment horizontal="right"/>
    </xf>
    <xf numFmtId="1" fontId="9" fillId="0" borderId="1" xfId="0" applyNumberFormat="1" applyFont="1" applyFill="1" applyBorder="1" applyAlignment="1">
      <alignment horizontal="right"/>
    </xf>
    <xf numFmtId="0" fontId="0" fillId="0" borderId="7" xfId="0" applyNumberFormat="1" applyFont="1" applyFill="1" applyBorder="1" applyAlignment="1">
      <alignment vertical="top" wrapText="1"/>
    </xf>
    <xf numFmtId="166" fontId="11" fillId="0" borderId="8" xfId="0" applyNumberFormat="1" applyFont="1" applyFill="1" applyBorder="1" applyAlignment="1">
      <alignment horizontal="right"/>
    </xf>
    <xf numFmtId="0" fontId="10" fillId="0" borderId="7" xfId="0" applyNumberFormat="1" applyFont="1" applyFill="1" applyBorder="1" applyAlignment="1">
      <alignment vertical="top" wrapText="1"/>
    </xf>
    <xf numFmtId="0" fontId="0" fillId="0" borderId="19" xfId="0" applyNumberFormat="1" applyFont="1" applyFill="1" applyBorder="1" applyAlignment="1">
      <alignment vertical="top" wrapText="1"/>
    </xf>
    <xf numFmtId="164" fontId="9" fillId="0" borderId="3" xfId="0" applyNumberFormat="1" applyFont="1" applyFill="1" applyBorder="1" applyAlignment="1">
      <alignment vertical="top" wrapText="1"/>
    </xf>
    <xf numFmtId="0" fontId="10" fillId="0" borderId="3" xfId="0" applyNumberFormat="1" applyFont="1" applyFill="1" applyBorder="1" applyAlignment="1">
      <alignment vertical="top" wrapText="1"/>
    </xf>
    <xf numFmtId="165" fontId="9" fillId="0" borderId="3" xfId="0" applyNumberFormat="1" applyFont="1" applyFill="1" applyBorder="1" applyAlignment="1">
      <alignment horizontal="right"/>
    </xf>
    <xf numFmtId="166" fontId="11" fillId="0" borderId="3" xfId="0" applyNumberFormat="1" applyFont="1" applyFill="1" applyBorder="1" applyAlignment="1">
      <alignment horizontal="right"/>
    </xf>
    <xf numFmtId="1" fontId="9" fillId="0" borderId="3" xfId="0" applyNumberFormat="1" applyFont="1" applyFill="1" applyBorder="1" applyAlignment="1">
      <alignment horizontal="right"/>
    </xf>
    <xf numFmtId="166" fontId="11" fillId="0" borderId="33" xfId="0" applyNumberFormat="1" applyFont="1" applyFill="1" applyBorder="1" applyAlignment="1">
      <alignment horizontal="right"/>
    </xf>
    <xf numFmtId="0" fontId="8" fillId="7" borderId="12" xfId="0" applyNumberFormat="1" applyFont="1" applyFill="1" applyBorder="1" applyAlignment="1">
      <alignment horizontal="center" vertical="center" wrapText="1"/>
    </xf>
    <xf numFmtId="0" fontId="8" fillId="7" borderId="13" xfId="0" applyNumberFormat="1" applyFont="1" applyFill="1" applyBorder="1" applyAlignment="1">
      <alignment horizontal="center" vertical="center" wrapText="1"/>
    </xf>
    <xf numFmtId="17" fontId="8" fillId="7" borderId="13" xfId="0" applyNumberFormat="1" applyFont="1" applyFill="1" applyBorder="1" applyAlignment="1">
      <alignment horizontal="center" vertical="center" wrapText="1"/>
    </xf>
    <xf numFmtId="0" fontId="8" fillId="7" borderId="14" xfId="0" applyNumberFormat="1" applyFont="1" applyFill="1" applyBorder="1" applyAlignment="1">
      <alignment horizontal="center" vertical="center" wrapText="1"/>
    </xf>
    <xf numFmtId="0" fontId="0" fillId="0" borderId="29" xfId="0" applyNumberFormat="1" applyFont="1" applyFill="1" applyBorder="1" applyAlignment="1">
      <alignment vertical="top" wrapText="1"/>
    </xf>
    <xf numFmtId="164" fontId="9" fillId="0" borderId="2" xfId="0" applyNumberFormat="1" applyFont="1" applyFill="1" applyBorder="1" applyAlignment="1">
      <alignment vertical="top" wrapText="1"/>
    </xf>
    <xf numFmtId="0" fontId="10" fillId="0" borderId="2" xfId="0" applyNumberFormat="1" applyFont="1" applyFill="1" applyBorder="1" applyAlignment="1">
      <alignment vertical="top" wrapText="1"/>
    </xf>
    <xf numFmtId="165" fontId="9" fillId="0" borderId="2" xfId="0" applyNumberFormat="1" applyFont="1" applyFill="1" applyBorder="1" applyAlignment="1">
      <alignment horizontal="right"/>
    </xf>
    <xf numFmtId="166" fontId="11" fillId="0" borderId="2" xfId="0" applyNumberFormat="1" applyFont="1" applyFill="1" applyBorder="1" applyAlignment="1">
      <alignment horizontal="right"/>
    </xf>
    <xf numFmtId="1" fontId="9" fillId="0" borderId="2" xfId="0" applyNumberFormat="1" applyFont="1" applyFill="1" applyBorder="1" applyAlignment="1">
      <alignment horizontal="right"/>
    </xf>
    <xf numFmtId="166" fontId="11" fillId="0" borderId="34" xfId="0" applyNumberFormat="1" applyFont="1" applyFill="1" applyBorder="1" applyAlignment="1">
      <alignment horizontal="right"/>
    </xf>
    <xf numFmtId="0" fontId="0" fillId="0" borderId="3" xfId="0" applyNumberFormat="1" applyFont="1" applyFill="1" applyBorder="1" applyAlignment="1">
      <alignment vertical="top" wrapText="1"/>
    </xf>
    <xf numFmtId="0" fontId="8" fillId="8" borderId="12" xfId="0" applyNumberFormat="1" applyFont="1" applyFill="1" applyBorder="1" applyAlignment="1">
      <alignment vertical="top" wrapText="1"/>
    </xf>
    <xf numFmtId="164" fontId="12" fillId="8" borderId="13" xfId="0" applyNumberFormat="1" applyFont="1" applyFill="1" applyBorder="1" applyAlignment="1">
      <alignment vertical="top" wrapText="1"/>
    </xf>
    <xf numFmtId="0" fontId="8" fillId="8" borderId="13" xfId="0" applyNumberFormat="1" applyFont="1" applyFill="1" applyBorder="1" applyAlignment="1">
      <alignment vertical="top" wrapText="1"/>
    </xf>
    <xf numFmtId="165" fontId="12" fillId="8" borderId="13" xfId="0" applyNumberFormat="1" applyFont="1" applyFill="1" applyBorder="1" applyAlignment="1">
      <alignment horizontal="right" vertical="center"/>
    </xf>
    <xf numFmtId="166" fontId="8" fillId="8" borderId="13" xfId="0" applyNumberFormat="1" applyFont="1" applyFill="1" applyBorder="1" applyAlignment="1">
      <alignment horizontal="right" vertical="center"/>
    </xf>
    <xf numFmtId="1" fontId="12" fillId="8" borderId="13" xfId="0" applyNumberFormat="1" applyFont="1" applyFill="1" applyBorder="1" applyAlignment="1">
      <alignment horizontal="right" vertical="center"/>
    </xf>
    <xf numFmtId="166" fontId="8" fillId="8" borderId="14" xfId="0" applyNumberFormat="1" applyFont="1" applyFill="1" applyBorder="1" applyAlignment="1">
      <alignment horizontal="right" vertical="center"/>
    </xf>
    <xf numFmtId="0" fontId="0" fillId="0" borderId="2" xfId="0" applyNumberFormat="1" applyFont="1" applyFill="1" applyBorder="1" applyAlignment="1">
      <alignment vertical="top" wrapText="1"/>
    </xf>
    <xf numFmtId="0" fontId="10" fillId="0" borderId="29" xfId="0" applyNumberFormat="1" applyFont="1" applyFill="1" applyBorder="1" applyAlignment="1">
      <alignment vertical="top" wrapText="1"/>
    </xf>
    <xf numFmtId="0" fontId="10" fillId="0" borderId="19" xfId="0" applyNumberFormat="1" applyFont="1" applyFill="1" applyBorder="1" applyAlignment="1">
      <alignment vertical="top" wrapText="1"/>
    </xf>
    <xf numFmtId="0" fontId="8" fillId="9" borderId="12" xfId="0" applyNumberFormat="1" applyFont="1" applyFill="1" applyBorder="1" applyAlignment="1">
      <alignment vertical="top" wrapText="1"/>
    </xf>
    <xf numFmtId="164" fontId="12" fillId="9" borderId="13" xfId="0" applyNumberFormat="1" applyFont="1" applyFill="1" applyBorder="1" applyAlignment="1">
      <alignment vertical="top" wrapText="1"/>
    </xf>
    <xf numFmtId="0" fontId="8" fillId="9" borderId="13" xfId="0" applyNumberFormat="1" applyFont="1" applyFill="1" applyBorder="1" applyAlignment="1">
      <alignment vertical="top" wrapText="1"/>
    </xf>
    <xf numFmtId="165" fontId="12" fillId="9" borderId="13" xfId="0" applyNumberFormat="1" applyFont="1" applyFill="1" applyBorder="1" applyAlignment="1">
      <alignment horizontal="right" vertical="center"/>
    </xf>
    <xf numFmtId="166" fontId="8" fillId="9" borderId="13" xfId="0" applyNumberFormat="1" applyFont="1" applyFill="1" applyBorder="1" applyAlignment="1">
      <alignment horizontal="right" vertical="center"/>
    </xf>
    <xf numFmtId="1" fontId="12" fillId="9" borderId="13" xfId="0" applyNumberFormat="1" applyFont="1" applyFill="1" applyBorder="1" applyAlignment="1">
      <alignment horizontal="right" vertical="center"/>
    </xf>
    <xf numFmtId="166" fontId="8" fillId="9" borderId="14" xfId="0" applyNumberFormat="1" applyFont="1" applyFill="1" applyBorder="1" applyAlignment="1">
      <alignment horizontal="right" vertical="center"/>
    </xf>
    <xf numFmtId="0" fontId="2" fillId="2" borderId="12" xfId="0" applyFont="1" applyFill="1" applyBorder="1" applyAlignment="1">
      <alignment horizontal="right" vertical="top" wrapText="1"/>
    </xf>
    <xf numFmtId="0" fontId="2" fillId="2" borderId="13" xfId="0" applyFont="1" applyFill="1" applyBorder="1" applyAlignment="1">
      <alignment horizontal="right" vertical="top" wrapText="1"/>
    </xf>
    <xf numFmtId="0" fontId="2" fillId="2" borderId="35" xfId="0" applyFont="1" applyFill="1" applyBorder="1" applyAlignment="1">
      <alignment horizontal="right" vertical="top" wrapText="1"/>
    </xf>
    <xf numFmtId="0" fontId="2" fillId="0" borderId="16" xfId="0" applyFont="1" applyBorder="1" applyAlignment="1">
      <alignment horizontal="right" vertical="top" wrapText="1"/>
    </xf>
    <xf numFmtId="0" fontId="2" fillId="0" borderId="17" xfId="0" applyFont="1" applyBorder="1" applyAlignment="1">
      <alignment horizontal="right" vertical="top" wrapText="1"/>
    </xf>
    <xf numFmtId="0" fontId="2" fillId="0" borderId="18" xfId="0" applyFont="1" applyBorder="1" applyAlignment="1">
      <alignment horizontal="right" vertical="top" wrapText="1"/>
    </xf>
    <xf numFmtId="0" fontId="2" fillId="2" borderId="31" xfId="0" applyFont="1" applyFill="1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36" xfId="0" applyBorder="1" applyAlignment="1">
      <alignment horizontal="center" vertical="top" wrapText="1"/>
    </xf>
    <xf numFmtId="0" fontId="0" fillId="0" borderId="38" xfId="0" applyBorder="1" applyAlignment="1">
      <alignment horizontal="center" vertical="top" wrapText="1"/>
    </xf>
    <xf numFmtId="0" fontId="1" fillId="3" borderId="16" xfId="0" applyFont="1" applyFill="1" applyBorder="1" applyAlignment="1">
      <alignment horizontal="center" vertical="top" wrapText="1"/>
    </xf>
    <xf numFmtId="0" fontId="1" fillId="3" borderId="17" xfId="0" applyFont="1" applyFill="1" applyBorder="1" applyAlignment="1">
      <alignment horizontal="center" vertical="top" wrapText="1"/>
    </xf>
    <xf numFmtId="0" fontId="1" fillId="3" borderId="18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0" fontId="13" fillId="10" borderId="1" xfId="0" applyNumberFormat="1" applyFont="1" applyFill="1" applyBorder="1" applyAlignment="1">
      <alignment vertical="top" wrapText="1"/>
    </xf>
    <xf numFmtId="165" fontId="12" fillId="9" borderId="35" xfId="0" applyNumberFormat="1" applyFont="1" applyFill="1" applyBorder="1" applyAlignment="1">
      <alignment horizontal="center" vertical="center"/>
    </xf>
    <xf numFmtId="165" fontId="12" fillId="9" borderId="17" xfId="0" applyNumberFormat="1" applyFont="1" applyFill="1" applyBorder="1" applyAlignment="1">
      <alignment horizontal="center" vertical="center"/>
    </xf>
    <xf numFmtId="165" fontId="12" fillId="9" borderId="18" xfId="0" applyNumberFormat="1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right" vertical="top" wrapText="1"/>
    </xf>
    <xf numFmtId="0" fontId="5" fillId="5" borderId="13" xfId="0" applyFont="1" applyFill="1" applyBorder="1" applyAlignment="1">
      <alignment horizontal="right" vertical="top" wrapText="1"/>
    </xf>
    <xf numFmtId="0" fontId="5" fillId="5" borderId="35" xfId="0" applyFont="1" applyFill="1" applyBorder="1" applyAlignment="1">
      <alignment horizontal="right" vertical="top" wrapText="1"/>
    </xf>
    <xf numFmtId="0" fontId="7" fillId="6" borderId="12" xfId="0" applyNumberFormat="1" applyFont="1" applyFill="1" applyBorder="1" applyAlignment="1">
      <alignment horizontal="center" vertical="center"/>
    </xf>
    <xf numFmtId="0" fontId="7" fillId="6" borderId="13" xfId="0" applyNumberFormat="1" applyFont="1" applyFill="1" applyBorder="1" applyAlignment="1">
      <alignment horizontal="center" vertical="center"/>
    </xf>
    <xf numFmtId="0" fontId="7" fillId="6" borderId="14" xfId="0" applyNumberFormat="1" applyFont="1" applyFill="1" applyBorder="1" applyAlignment="1">
      <alignment horizontal="center" vertical="center"/>
    </xf>
    <xf numFmtId="0" fontId="5" fillId="5" borderId="31" xfId="0" applyFont="1" applyFill="1" applyBorder="1" applyAlignment="1">
      <alignment horizontal="center" vertical="top" wrapText="1"/>
    </xf>
    <xf numFmtId="0" fontId="4" fillId="4" borderId="16" xfId="0" applyFont="1" applyFill="1" applyBorder="1" applyAlignment="1">
      <alignment horizontal="center" vertical="top" wrapText="1"/>
    </xf>
    <xf numFmtId="0" fontId="4" fillId="4" borderId="17" xfId="0" applyFont="1" applyFill="1" applyBorder="1" applyAlignment="1">
      <alignment horizontal="center" vertical="top" wrapText="1"/>
    </xf>
    <xf numFmtId="0" fontId="4" fillId="4" borderId="18" xfId="0" applyFont="1" applyFill="1" applyBorder="1" applyAlignment="1">
      <alignment horizontal="center" vertical="top" wrapText="1"/>
    </xf>
    <xf numFmtId="3" fontId="0" fillId="0" borderId="36" xfId="0" applyNumberFormat="1" applyBorder="1" applyAlignment="1">
      <alignment horizontal="center" vertical="top" wrapText="1"/>
    </xf>
    <xf numFmtId="3" fontId="0" fillId="0" borderId="38" xfId="0" applyNumberFormat="1" applyBorder="1" applyAlignment="1">
      <alignment horizontal="center" vertical="top" wrapText="1"/>
    </xf>
    <xf numFmtId="3" fontId="2" fillId="2" borderId="12" xfId="0" applyNumberFormat="1" applyFont="1" applyFill="1" applyBorder="1" applyAlignment="1">
      <alignment horizontal="right" vertical="top" wrapText="1"/>
    </xf>
    <xf numFmtId="3" fontId="2" fillId="2" borderId="13" xfId="0" applyNumberFormat="1" applyFont="1" applyFill="1" applyBorder="1" applyAlignment="1">
      <alignment horizontal="right" vertical="top" wrapText="1"/>
    </xf>
    <xf numFmtId="3" fontId="2" fillId="2" borderId="35" xfId="0" applyNumberFormat="1" applyFont="1" applyFill="1" applyBorder="1" applyAlignment="1">
      <alignment horizontal="right" vertical="top" wrapText="1"/>
    </xf>
    <xf numFmtId="3" fontId="0" fillId="0" borderId="5" xfId="0" applyNumberFormat="1" applyBorder="1" applyAlignment="1">
      <alignment horizontal="left" vertical="top" wrapText="1"/>
    </xf>
    <xf numFmtId="3" fontId="0" fillId="0" borderId="1" xfId="0" applyNumberFormat="1" applyBorder="1" applyAlignment="1">
      <alignment horizontal="left" vertical="top" wrapText="1"/>
    </xf>
    <xf numFmtId="3" fontId="0" fillId="0" borderId="10" xfId="0" applyNumberForma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20"/>
  <sheetViews>
    <sheetView zoomScale="90" zoomScaleNormal="90" workbookViewId="0">
      <selection activeCell="I18" sqref="I18"/>
    </sheetView>
  </sheetViews>
  <sheetFormatPr defaultColWidth="11.59765625" defaultRowHeight="14.25" x14ac:dyDescent="0.45"/>
  <cols>
    <col min="1" max="1" width="3.53125" style="1" customWidth="1"/>
    <col min="2" max="2" width="32.46484375" style="1" customWidth="1"/>
    <col min="3" max="3" width="9.265625" style="1" bestFit="1" customWidth="1"/>
    <col min="4" max="4" width="40.33203125" style="1" bestFit="1" customWidth="1"/>
    <col min="5" max="5" width="6.1328125" style="1" bestFit="1" customWidth="1"/>
    <col min="6" max="6" width="5.53125" style="1" bestFit="1" customWidth="1"/>
    <col min="7" max="7" width="6.53125" style="1" bestFit="1" customWidth="1"/>
    <col min="8" max="8" width="6.33203125" style="1" bestFit="1" customWidth="1"/>
    <col min="9" max="9" width="7.19921875" style="1" bestFit="1" customWidth="1"/>
    <col min="10" max="10" width="14.3984375" style="1" bestFit="1" customWidth="1"/>
    <col min="11" max="16384" width="11.59765625" style="1"/>
  </cols>
  <sheetData>
    <row r="1" spans="2:10" ht="14.65" thickBot="1" x14ac:dyDescent="0.5">
      <c r="B1" s="127" t="s">
        <v>41</v>
      </c>
      <c r="C1" s="128"/>
      <c r="D1" s="128"/>
      <c r="E1" s="128"/>
      <c r="F1" s="128"/>
      <c r="G1" s="128"/>
      <c r="H1" s="128"/>
      <c r="I1" s="128"/>
      <c r="J1" s="129"/>
    </row>
    <row r="2" spans="2:10" s="2" customFormat="1" ht="14.65" thickBot="1" x14ac:dyDescent="0.5">
      <c r="B2" s="24" t="s">
        <v>1</v>
      </c>
      <c r="C2" s="17" t="s">
        <v>15</v>
      </c>
      <c r="D2" s="17" t="s">
        <v>14</v>
      </c>
      <c r="E2" s="18">
        <v>46174</v>
      </c>
      <c r="F2" s="18">
        <v>46204</v>
      </c>
      <c r="G2" s="18">
        <v>46235</v>
      </c>
      <c r="H2" s="30">
        <v>46266</v>
      </c>
      <c r="I2" s="33" t="s">
        <v>29</v>
      </c>
      <c r="J2" s="25" t="s">
        <v>30</v>
      </c>
    </row>
    <row r="3" spans="2:10" x14ac:dyDescent="0.45">
      <c r="B3" s="28" t="s">
        <v>24</v>
      </c>
      <c r="C3" s="6">
        <v>200</v>
      </c>
      <c r="D3" s="5" t="s">
        <v>6</v>
      </c>
      <c r="E3" s="6">
        <v>0.25</v>
      </c>
      <c r="F3" s="6">
        <v>0.25</v>
      </c>
      <c r="G3" s="6">
        <v>0.25</v>
      </c>
      <c r="H3" s="31">
        <v>0.25</v>
      </c>
      <c r="I3" s="42">
        <f>SUM(E3:H3)*C3*160</f>
        <v>32000</v>
      </c>
      <c r="J3" s="29">
        <v>0</v>
      </c>
    </row>
    <row r="4" spans="2:10" x14ac:dyDescent="0.45">
      <c r="B4" s="19" t="s">
        <v>8</v>
      </c>
      <c r="C4" s="4">
        <v>75</v>
      </c>
      <c r="D4" s="3" t="s">
        <v>6</v>
      </c>
      <c r="E4" s="4">
        <v>0.25</v>
      </c>
      <c r="F4" s="4">
        <v>0.25</v>
      </c>
      <c r="G4" s="4">
        <v>0.25</v>
      </c>
      <c r="H4" s="14">
        <v>0.25</v>
      </c>
      <c r="I4" s="45">
        <f t="shared" ref="I4:I11" si="0">SUM(E4:H4)*C4*160</f>
        <v>12000</v>
      </c>
      <c r="J4" s="20">
        <v>300</v>
      </c>
    </row>
    <row r="5" spans="2:10" x14ac:dyDescent="0.45">
      <c r="B5" s="19" t="s">
        <v>25</v>
      </c>
      <c r="C5" s="4">
        <v>25</v>
      </c>
      <c r="D5" s="3" t="s">
        <v>26</v>
      </c>
      <c r="E5" s="4">
        <v>0</v>
      </c>
      <c r="F5" s="4">
        <v>0.5</v>
      </c>
      <c r="G5" s="4">
        <v>0.5</v>
      </c>
      <c r="H5" s="14">
        <v>0.5</v>
      </c>
      <c r="I5" s="45">
        <f t="shared" si="0"/>
        <v>6000</v>
      </c>
      <c r="J5" s="20">
        <v>0</v>
      </c>
    </row>
    <row r="6" spans="2:10" x14ac:dyDescent="0.45">
      <c r="B6" s="19" t="s">
        <v>16</v>
      </c>
      <c r="C6" s="4">
        <v>25</v>
      </c>
      <c r="D6" s="3" t="s">
        <v>21</v>
      </c>
      <c r="E6" s="4">
        <v>1</v>
      </c>
      <c r="F6" s="4">
        <v>0.5</v>
      </c>
      <c r="G6" s="4">
        <v>0.5</v>
      </c>
      <c r="H6" s="14">
        <v>0.5</v>
      </c>
      <c r="I6" s="45">
        <f t="shared" si="0"/>
        <v>10000</v>
      </c>
      <c r="J6" s="20">
        <v>0</v>
      </c>
    </row>
    <row r="7" spans="2:10" x14ac:dyDescent="0.45">
      <c r="B7" s="19" t="s">
        <v>10</v>
      </c>
      <c r="C7" s="4">
        <v>25</v>
      </c>
      <c r="D7" s="3" t="s">
        <v>12</v>
      </c>
      <c r="E7" s="4">
        <v>1</v>
      </c>
      <c r="F7" s="4">
        <v>2</v>
      </c>
      <c r="G7" s="4">
        <v>2</v>
      </c>
      <c r="H7" s="14">
        <v>2</v>
      </c>
      <c r="I7" s="45">
        <f t="shared" si="0"/>
        <v>28000</v>
      </c>
      <c r="J7" s="20">
        <v>0</v>
      </c>
    </row>
    <row r="8" spans="2:10" x14ac:dyDescent="0.45">
      <c r="B8" s="19" t="s">
        <v>9</v>
      </c>
      <c r="C8" s="4">
        <v>25</v>
      </c>
      <c r="D8" s="3" t="s">
        <v>11</v>
      </c>
      <c r="E8" s="4">
        <v>1</v>
      </c>
      <c r="F8" s="4">
        <v>2</v>
      </c>
      <c r="G8" s="4">
        <v>2</v>
      </c>
      <c r="H8" s="14">
        <v>2</v>
      </c>
      <c r="I8" s="45">
        <f t="shared" si="0"/>
        <v>28000</v>
      </c>
      <c r="J8" s="20">
        <v>0</v>
      </c>
    </row>
    <row r="9" spans="2:10" x14ac:dyDescent="0.45">
      <c r="B9" s="19" t="s">
        <v>18</v>
      </c>
      <c r="C9" s="4">
        <v>25</v>
      </c>
      <c r="D9" s="3" t="s">
        <v>22</v>
      </c>
      <c r="E9" s="4">
        <v>0</v>
      </c>
      <c r="F9" s="4">
        <v>1</v>
      </c>
      <c r="G9" s="4">
        <v>1</v>
      </c>
      <c r="H9" s="14">
        <v>1</v>
      </c>
      <c r="I9" s="45">
        <f t="shared" si="0"/>
        <v>12000</v>
      </c>
      <c r="J9" s="20">
        <v>0</v>
      </c>
    </row>
    <row r="10" spans="2:10" x14ac:dyDescent="0.45">
      <c r="B10" s="19" t="s">
        <v>19</v>
      </c>
      <c r="C10" s="4">
        <v>25</v>
      </c>
      <c r="D10" s="3" t="s">
        <v>23</v>
      </c>
      <c r="E10" s="4">
        <v>1</v>
      </c>
      <c r="F10" s="4">
        <v>1</v>
      </c>
      <c r="G10" s="4">
        <v>1</v>
      </c>
      <c r="H10" s="14">
        <v>1</v>
      </c>
      <c r="I10" s="45">
        <f t="shared" si="0"/>
        <v>16000</v>
      </c>
      <c r="J10" s="20">
        <v>0</v>
      </c>
    </row>
    <row r="11" spans="2:10" ht="14.65" thickBot="1" x14ac:dyDescent="0.5">
      <c r="B11" s="21" t="s">
        <v>17</v>
      </c>
      <c r="C11" s="8">
        <v>25</v>
      </c>
      <c r="D11" s="7" t="s">
        <v>20</v>
      </c>
      <c r="E11" s="8">
        <v>1</v>
      </c>
      <c r="F11" s="8">
        <v>2</v>
      </c>
      <c r="G11" s="8">
        <v>2</v>
      </c>
      <c r="H11" s="16">
        <v>2</v>
      </c>
      <c r="I11" s="50">
        <f t="shared" si="0"/>
        <v>28000</v>
      </c>
      <c r="J11" s="22">
        <v>0</v>
      </c>
    </row>
    <row r="12" spans="2:10" ht="14.65" thickBot="1" x14ac:dyDescent="0.5">
      <c r="B12" s="125"/>
      <c r="C12" s="126"/>
      <c r="D12" s="126"/>
      <c r="E12" s="26">
        <f>SUM(E3:E11)</f>
        <v>5.5</v>
      </c>
      <c r="F12" s="26">
        <f t="shared" ref="F12:H12" si="1">SUM(F3:F11)</f>
        <v>9.5</v>
      </c>
      <c r="G12" s="26">
        <f t="shared" si="1"/>
        <v>9.5</v>
      </c>
      <c r="H12" s="32">
        <f t="shared" si="1"/>
        <v>9.5</v>
      </c>
      <c r="I12" s="53">
        <f>SUM(I3:I11)</f>
        <v>172000</v>
      </c>
      <c r="J12" s="27">
        <f>SUM(J3:J11)</f>
        <v>300</v>
      </c>
    </row>
    <row r="13" spans="2:10" s="2" customFormat="1" ht="14.65" thickBot="1" x14ac:dyDescent="0.5">
      <c r="B13" s="24" t="s">
        <v>3</v>
      </c>
      <c r="C13" s="122" t="s">
        <v>2</v>
      </c>
      <c r="D13" s="122"/>
      <c r="E13" s="18">
        <v>46174</v>
      </c>
      <c r="F13" s="18">
        <v>46204</v>
      </c>
      <c r="G13" s="18">
        <v>46235</v>
      </c>
      <c r="H13" s="30">
        <v>46266</v>
      </c>
      <c r="I13" s="33" t="s">
        <v>29</v>
      </c>
      <c r="J13" s="1"/>
    </row>
    <row r="14" spans="2:10" x14ac:dyDescent="0.45">
      <c r="B14" s="28" t="s">
        <v>27</v>
      </c>
      <c r="C14" s="123" t="s">
        <v>4</v>
      </c>
      <c r="D14" s="123"/>
      <c r="E14" s="6">
        <v>50</v>
      </c>
      <c r="F14" s="6">
        <v>50</v>
      </c>
      <c r="G14" s="6">
        <v>50</v>
      </c>
      <c r="H14" s="31">
        <v>50</v>
      </c>
      <c r="I14" s="34">
        <f>SUM(E14:H14)</f>
        <v>200</v>
      </c>
    </row>
    <row r="15" spans="2:10" ht="14.65" thickBot="1" x14ac:dyDescent="0.5">
      <c r="B15" s="21" t="s">
        <v>28</v>
      </c>
      <c r="C15" s="124" t="s">
        <v>5</v>
      </c>
      <c r="D15" s="124"/>
      <c r="E15" s="8">
        <v>50</v>
      </c>
      <c r="F15" s="8">
        <v>50</v>
      </c>
      <c r="G15" s="8">
        <v>50</v>
      </c>
      <c r="H15" s="16">
        <v>50</v>
      </c>
      <c r="I15" s="36">
        <f>SUM(E15:H15)</f>
        <v>200</v>
      </c>
    </row>
    <row r="16" spans="2:10" ht="14.65" thickBot="1" x14ac:dyDescent="0.5">
      <c r="B16" s="119" t="s">
        <v>115</v>
      </c>
      <c r="C16" s="120"/>
      <c r="D16" s="121"/>
      <c r="E16" s="26">
        <v>0</v>
      </c>
      <c r="F16" s="26">
        <v>0</v>
      </c>
      <c r="G16" s="26">
        <v>0</v>
      </c>
      <c r="H16" s="32">
        <v>0</v>
      </c>
      <c r="I16" s="40"/>
    </row>
    <row r="17" spans="2:9" ht="14.65" thickBot="1" x14ac:dyDescent="0.5">
      <c r="B17" s="125"/>
      <c r="C17" s="126"/>
      <c r="D17" s="126"/>
      <c r="E17" s="26">
        <f>SUM(E14:E15)</f>
        <v>100</v>
      </c>
      <c r="F17" s="26">
        <f t="shared" ref="F17:I17" si="2">SUM(F14:F15)</f>
        <v>100</v>
      </c>
      <c r="G17" s="26">
        <f t="shared" si="2"/>
        <v>100</v>
      </c>
      <c r="H17" s="32">
        <f t="shared" si="2"/>
        <v>100</v>
      </c>
      <c r="I17" s="37">
        <f t="shared" si="2"/>
        <v>400</v>
      </c>
    </row>
    <row r="18" spans="2:9" ht="14.65" thickBot="1" x14ac:dyDescent="0.5">
      <c r="B18" s="116" t="s">
        <v>45</v>
      </c>
      <c r="C18" s="117"/>
      <c r="D18" s="117"/>
      <c r="E18" s="117"/>
      <c r="F18" s="117"/>
      <c r="G18" s="117"/>
      <c r="H18" s="118"/>
      <c r="I18" s="38">
        <f>J12+I17</f>
        <v>700</v>
      </c>
    </row>
    <row r="19" spans="2:9" ht="14.65" thickBot="1" x14ac:dyDescent="0.5"/>
    <row r="20" spans="2:9" ht="14.65" thickBot="1" x14ac:dyDescent="0.5">
      <c r="B20" s="116" t="s">
        <v>55</v>
      </c>
      <c r="C20" s="117"/>
      <c r="D20" s="117"/>
      <c r="E20" s="117"/>
      <c r="F20" s="117"/>
      <c r="G20" s="117"/>
      <c r="H20" s="118"/>
      <c r="I20" s="38">
        <f>I18/4</f>
        <v>175</v>
      </c>
    </row>
  </sheetData>
  <mergeCells count="9">
    <mergeCell ref="B12:D12"/>
    <mergeCell ref="B18:H18"/>
    <mergeCell ref="B17:D17"/>
    <mergeCell ref="B1:J1"/>
    <mergeCell ref="B20:H20"/>
    <mergeCell ref="B16:D16"/>
    <mergeCell ref="C13:D13"/>
    <mergeCell ref="C14:D14"/>
    <mergeCell ref="C15:D1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24"/>
  <sheetViews>
    <sheetView zoomScale="90" zoomScaleNormal="90" workbookViewId="0">
      <selection activeCell="J15" sqref="J15"/>
    </sheetView>
  </sheetViews>
  <sheetFormatPr defaultColWidth="11.59765625" defaultRowHeight="14.25" x14ac:dyDescent="0.45"/>
  <cols>
    <col min="1" max="1" width="3.53125" style="1" customWidth="1"/>
    <col min="2" max="2" width="28.9296875" style="1" bestFit="1" customWidth="1"/>
    <col min="3" max="3" width="9.265625" style="1" bestFit="1" customWidth="1"/>
    <col min="4" max="4" width="40" style="1" bestFit="1" customWidth="1"/>
    <col min="5" max="5" width="6.1328125" style="1" bestFit="1" customWidth="1"/>
    <col min="6" max="6" width="6.53125" style="1" bestFit="1" customWidth="1"/>
    <col min="7" max="7" width="6.33203125" style="1" bestFit="1" customWidth="1"/>
    <col min="8" max="8" width="7.19921875" style="1" bestFit="1" customWidth="1"/>
    <col min="9" max="9" width="9.796875" style="1" bestFit="1" customWidth="1"/>
    <col min="10" max="10" width="14.06640625" style="1" bestFit="1" customWidth="1"/>
    <col min="11" max="16384" width="11.59765625" style="1"/>
  </cols>
  <sheetData>
    <row r="1" spans="2:10" ht="14.65" thickBot="1" x14ac:dyDescent="0.5">
      <c r="B1" s="127" t="s">
        <v>42</v>
      </c>
      <c r="C1" s="128"/>
      <c r="D1" s="128"/>
      <c r="E1" s="128"/>
      <c r="F1" s="128"/>
      <c r="G1" s="128"/>
      <c r="H1" s="128"/>
      <c r="I1" s="128"/>
      <c r="J1" s="129"/>
    </row>
    <row r="2" spans="2:10" ht="14.65" thickBot="1" x14ac:dyDescent="0.5">
      <c r="B2" s="24" t="s">
        <v>1</v>
      </c>
      <c r="C2" s="17" t="s">
        <v>15</v>
      </c>
      <c r="D2" s="17" t="s">
        <v>14</v>
      </c>
      <c r="E2" s="18">
        <v>46296</v>
      </c>
      <c r="F2" s="18">
        <v>46327</v>
      </c>
      <c r="G2" s="18">
        <v>46357</v>
      </c>
      <c r="H2" s="33" t="s">
        <v>29</v>
      </c>
      <c r="I2" s="39" t="s">
        <v>31</v>
      </c>
      <c r="J2" s="25" t="s">
        <v>30</v>
      </c>
    </row>
    <row r="3" spans="2:10" x14ac:dyDescent="0.45">
      <c r="B3" s="28" t="s">
        <v>24</v>
      </c>
      <c r="C3" s="6">
        <v>200</v>
      </c>
      <c r="D3" s="5" t="s">
        <v>6</v>
      </c>
      <c r="E3" s="6">
        <v>0.25</v>
      </c>
      <c r="F3" s="6">
        <v>0.25</v>
      </c>
      <c r="G3" s="31">
        <v>0.25</v>
      </c>
      <c r="H3" s="42">
        <f t="shared" ref="H3:H14" si="0">SUM(E3:G3)*C3*160</f>
        <v>24000</v>
      </c>
      <c r="I3" s="43">
        <v>100</v>
      </c>
      <c r="J3" s="11">
        <f>H3*(100-I3)/100</f>
        <v>0</v>
      </c>
    </row>
    <row r="4" spans="2:10" x14ac:dyDescent="0.45">
      <c r="B4" s="19" t="s">
        <v>8</v>
      </c>
      <c r="C4" s="4">
        <v>75</v>
      </c>
      <c r="D4" s="3" t="s">
        <v>6</v>
      </c>
      <c r="E4" s="4">
        <v>0.5</v>
      </c>
      <c r="F4" s="4">
        <v>0.5</v>
      </c>
      <c r="G4" s="14">
        <v>0.5</v>
      </c>
      <c r="H4" s="45">
        <f t="shared" si="0"/>
        <v>18000</v>
      </c>
      <c r="I4" s="46">
        <v>90</v>
      </c>
      <c r="J4" s="12">
        <f>H4*(100-I4)/100</f>
        <v>1800</v>
      </c>
    </row>
    <row r="5" spans="2:10" x14ac:dyDescent="0.45">
      <c r="B5" s="19" t="s">
        <v>32</v>
      </c>
      <c r="C5" s="4">
        <v>40</v>
      </c>
      <c r="D5" s="3" t="s">
        <v>38</v>
      </c>
      <c r="E5" s="4">
        <v>2</v>
      </c>
      <c r="F5" s="4">
        <v>2</v>
      </c>
      <c r="G5" s="14">
        <v>2</v>
      </c>
      <c r="H5" s="45">
        <f t="shared" si="0"/>
        <v>38400</v>
      </c>
      <c r="I5" s="46">
        <v>90</v>
      </c>
      <c r="J5" s="12">
        <f t="shared" ref="J5:J13" si="1">H5*(100-I5)/100</f>
        <v>3840</v>
      </c>
    </row>
    <row r="6" spans="2:10" x14ac:dyDescent="0.45">
      <c r="B6" s="19" t="s">
        <v>16</v>
      </c>
      <c r="C6" s="4">
        <v>25</v>
      </c>
      <c r="D6" s="3" t="s">
        <v>21</v>
      </c>
      <c r="E6" s="4">
        <v>2</v>
      </c>
      <c r="F6" s="4">
        <v>2</v>
      </c>
      <c r="G6" s="14">
        <v>2</v>
      </c>
      <c r="H6" s="45">
        <f t="shared" si="0"/>
        <v>24000</v>
      </c>
      <c r="I6" s="46">
        <v>100</v>
      </c>
      <c r="J6" s="12">
        <f t="shared" si="1"/>
        <v>0</v>
      </c>
    </row>
    <row r="7" spans="2:10" x14ac:dyDescent="0.45">
      <c r="B7" s="19" t="s">
        <v>33</v>
      </c>
      <c r="C7" s="4">
        <v>40</v>
      </c>
      <c r="D7" s="3" t="s">
        <v>12</v>
      </c>
      <c r="E7" s="4">
        <v>2</v>
      </c>
      <c r="F7" s="4">
        <v>2</v>
      </c>
      <c r="G7" s="14">
        <v>2</v>
      </c>
      <c r="H7" s="45">
        <f t="shared" si="0"/>
        <v>38400</v>
      </c>
      <c r="I7" s="46">
        <v>90</v>
      </c>
      <c r="J7" s="12">
        <f t="shared" si="1"/>
        <v>3840</v>
      </c>
    </row>
    <row r="8" spans="2:10" x14ac:dyDescent="0.45">
      <c r="B8" s="19" t="s">
        <v>10</v>
      </c>
      <c r="C8" s="4">
        <v>25</v>
      </c>
      <c r="D8" s="3" t="s">
        <v>12</v>
      </c>
      <c r="E8" s="4">
        <v>2</v>
      </c>
      <c r="F8" s="4">
        <v>2</v>
      </c>
      <c r="G8" s="14">
        <v>2</v>
      </c>
      <c r="H8" s="45">
        <f t="shared" si="0"/>
        <v>24000</v>
      </c>
      <c r="I8" s="46">
        <v>100</v>
      </c>
      <c r="J8" s="12">
        <f t="shared" si="1"/>
        <v>0</v>
      </c>
    </row>
    <row r="9" spans="2:10" x14ac:dyDescent="0.45">
      <c r="B9" s="19" t="s">
        <v>34</v>
      </c>
      <c r="C9" s="4">
        <v>40</v>
      </c>
      <c r="D9" s="3" t="s">
        <v>11</v>
      </c>
      <c r="E9" s="4">
        <v>2</v>
      </c>
      <c r="F9" s="4">
        <v>2</v>
      </c>
      <c r="G9" s="14">
        <v>2</v>
      </c>
      <c r="H9" s="45">
        <f t="shared" si="0"/>
        <v>38400</v>
      </c>
      <c r="I9" s="46">
        <v>90</v>
      </c>
      <c r="J9" s="12">
        <f t="shared" si="1"/>
        <v>3840</v>
      </c>
    </row>
    <row r="10" spans="2:10" x14ac:dyDescent="0.45">
      <c r="B10" s="19" t="s">
        <v>9</v>
      </c>
      <c r="C10" s="4">
        <v>25</v>
      </c>
      <c r="D10" s="3" t="s">
        <v>11</v>
      </c>
      <c r="E10" s="4">
        <v>2</v>
      </c>
      <c r="F10" s="4">
        <v>2</v>
      </c>
      <c r="G10" s="14">
        <v>2</v>
      </c>
      <c r="H10" s="45">
        <f t="shared" si="0"/>
        <v>24000</v>
      </c>
      <c r="I10" s="46">
        <v>100</v>
      </c>
      <c r="J10" s="12">
        <f t="shared" si="1"/>
        <v>0</v>
      </c>
    </row>
    <row r="11" spans="2:10" x14ac:dyDescent="0.45">
      <c r="B11" s="19" t="s">
        <v>35</v>
      </c>
      <c r="C11" s="4">
        <v>40</v>
      </c>
      <c r="D11" s="3" t="s">
        <v>13</v>
      </c>
      <c r="E11" s="4">
        <v>1</v>
      </c>
      <c r="F11" s="4">
        <v>1</v>
      </c>
      <c r="G11" s="14">
        <v>1</v>
      </c>
      <c r="H11" s="45">
        <f t="shared" si="0"/>
        <v>19200</v>
      </c>
      <c r="I11" s="46">
        <v>90</v>
      </c>
      <c r="J11" s="12">
        <f t="shared" si="1"/>
        <v>1920</v>
      </c>
    </row>
    <row r="12" spans="2:10" x14ac:dyDescent="0.45">
      <c r="B12" s="19" t="s">
        <v>36</v>
      </c>
      <c r="C12" s="4">
        <v>25</v>
      </c>
      <c r="D12" s="3" t="s">
        <v>13</v>
      </c>
      <c r="E12" s="4">
        <v>1</v>
      </c>
      <c r="F12" s="4">
        <v>1</v>
      </c>
      <c r="G12" s="14">
        <v>1</v>
      </c>
      <c r="H12" s="45">
        <f t="shared" si="0"/>
        <v>12000</v>
      </c>
      <c r="I12" s="46">
        <v>100</v>
      </c>
      <c r="J12" s="12">
        <f t="shared" si="1"/>
        <v>0</v>
      </c>
    </row>
    <row r="13" spans="2:10" x14ac:dyDescent="0.45">
      <c r="B13" s="23" t="s">
        <v>37</v>
      </c>
      <c r="C13" s="10">
        <v>40</v>
      </c>
      <c r="D13" s="9" t="s">
        <v>20</v>
      </c>
      <c r="E13" s="10">
        <v>2</v>
      </c>
      <c r="F13" s="10">
        <v>2</v>
      </c>
      <c r="G13" s="15">
        <v>2</v>
      </c>
      <c r="H13" s="47">
        <f t="shared" si="0"/>
        <v>38400</v>
      </c>
      <c r="I13" s="48">
        <v>90</v>
      </c>
      <c r="J13" s="12">
        <f t="shared" si="1"/>
        <v>3840</v>
      </c>
    </row>
    <row r="14" spans="2:10" ht="14.65" thickBot="1" x14ac:dyDescent="0.5">
      <c r="B14" s="21" t="s">
        <v>17</v>
      </c>
      <c r="C14" s="8">
        <v>25</v>
      </c>
      <c r="D14" s="7" t="s">
        <v>20</v>
      </c>
      <c r="E14" s="8">
        <v>2</v>
      </c>
      <c r="F14" s="8">
        <v>2</v>
      </c>
      <c r="G14" s="16">
        <v>2</v>
      </c>
      <c r="H14" s="50">
        <f t="shared" si="0"/>
        <v>24000</v>
      </c>
      <c r="I14" s="51">
        <v>100</v>
      </c>
      <c r="J14" s="13">
        <f>H14*(100-I14)/100</f>
        <v>0</v>
      </c>
    </row>
    <row r="15" spans="2:10" ht="14.65" thickBot="1" x14ac:dyDescent="0.5">
      <c r="B15" s="125"/>
      <c r="C15" s="126"/>
      <c r="D15" s="126"/>
      <c r="E15" s="26">
        <f t="shared" ref="E15:G15" si="2">SUM(E3:E14)</f>
        <v>18.75</v>
      </c>
      <c r="F15" s="26">
        <f t="shared" si="2"/>
        <v>18.75</v>
      </c>
      <c r="G15" s="32">
        <f t="shared" si="2"/>
        <v>18.75</v>
      </c>
      <c r="H15" s="56">
        <f>SUM(H3:H14)</f>
        <v>322800</v>
      </c>
      <c r="J15" s="55">
        <f>SUM(J3:J14)</f>
        <v>19080</v>
      </c>
    </row>
    <row r="16" spans="2:10" ht="14.65" thickBot="1" x14ac:dyDescent="0.5">
      <c r="B16" s="24" t="s">
        <v>3</v>
      </c>
      <c r="C16" s="122" t="s">
        <v>2</v>
      </c>
      <c r="D16" s="122"/>
      <c r="E16" s="18">
        <v>46296</v>
      </c>
      <c r="F16" s="18">
        <v>46327</v>
      </c>
      <c r="G16" s="18">
        <v>46357</v>
      </c>
      <c r="H16" s="33" t="s">
        <v>29</v>
      </c>
    </row>
    <row r="17" spans="2:8" ht="14.25" customHeight="1" x14ac:dyDescent="0.45">
      <c r="B17" s="28" t="s">
        <v>27</v>
      </c>
      <c r="C17" s="123" t="s">
        <v>4</v>
      </c>
      <c r="D17" s="123"/>
      <c r="E17" s="6">
        <v>100</v>
      </c>
      <c r="F17" s="6">
        <v>100</v>
      </c>
      <c r="G17" s="31">
        <v>100</v>
      </c>
      <c r="H17" s="34">
        <f>SUM(E17:G17)</f>
        <v>300</v>
      </c>
    </row>
    <row r="18" spans="2:8" ht="14.65" customHeight="1" x14ac:dyDescent="0.45">
      <c r="B18" s="19" t="s">
        <v>28</v>
      </c>
      <c r="C18" s="130" t="s">
        <v>5</v>
      </c>
      <c r="D18" s="130"/>
      <c r="E18" s="4">
        <v>100</v>
      </c>
      <c r="F18" s="4">
        <v>100</v>
      </c>
      <c r="G18" s="14">
        <v>100</v>
      </c>
      <c r="H18" s="35">
        <f>SUM(E18:G18)</f>
        <v>300</v>
      </c>
    </row>
    <row r="19" spans="2:8" ht="14.65" customHeight="1" x14ac:dyDescent="0.45">
      <c r="B19" s="19" t="s">
        <v>39</v>
      </c>
      <c r="C19" s="130" t="s">
        <v>4</v>
      </c>
      <c r="D19" s="130"/>
      <c r="E19" s="4">
        <v>50</v>
      </c>
      <c r="F19" s="4">
        <v>50</v>
      </c>
      <c r="G19" s="14">
        <v>50</v>
      </c>
      <c r="H19" s="35">
        <f>SUM(E19:G19)</f>
        <v>150</v>
      </c>
    </row>
    <row r="20" spans="2:8" ht="14.65" customHeight="1" thickBot="1" x14ac:dyDescent="0.5">
      <c r="B20" s="21" t="s">
        <v>40</v>
      </c>
      <c r="C20" s="124" t="s">
        <v>5</v>
      </c>
      <c r="D20" s="124"/>
      <c r="E20" s="8">
        <v>50</v>
      </c>
      <c r="F20" s="8">
        <v>50</v>
      </c>
      <c r="G20" s="16">
        <v>50</v>
      </c>
      <c r="H20" s="36">
        <f>SUM(E20:G20)</f>
        <v>150</v>
      </c>
    </row>
    <row r="21" spans="2:8" ht="14.65" thickBot="1" x14ac:dyDescent="0.5">
      <c r="B21" s="125"/>
      <c r="C21" s="126"/>
      <c r="D21" s="126"/>
      <c r="E21" s="26">
        <f t="shared" ref="E21:G21" si="3">SUM(E17:E18)</f>
        <v>200</v>
      </c>
      <c r="F21" s="26">
        <f t="shared" si="3"/>
        <v>200</v>
      </c>
      <c r="G21" s="32">
        <f t="shared" si="3"/>
        <v>200</v>
      </c>
      <c r="H21" s="37">
        <f>SUM(H17:H20)</f>
        <v>900</v>
      </c>
    </row>
    <row r="22" spans="2:8" ht="14.65" thickBot="1" x14ac:dyDescent="0.5">
      <c r="B22" s="116" t="s">
        <v>45</v>
      </c>
      <c r="C22" s="117"/>
      <c r="D22" s="117"/>
      <c r="E22" s="117"/>
      <c r="F22" s="117"/>
      <c r="G22" s="118"/>
      <c r="H22" s="54">
        <f>J15+H21</f>
        <v>19980</v>
      </c>
    </row>
    <row r="23" spans="2:8" ht="14.65" thickBot="1" x14ac:dyDescent="0.5"/>
    <row r="24" spans="2:8" ht="14.65" thickBot="1" x14ac:dyDescent="0.5">
      <c r="B24" s="116" t="s">
        <v>55</v>
      </c>
      <c r="C24" s="117"/>
      <c r="D24" s="117"/>
      <c r="E24" s="117"/>
      <c r="F24" s="117"/>
      <c r="G24" s="118"/>
      <c r="H24" s="54">
        <f>H22/3</f>
        <v>6660</v>
      </c>
    </row>
  </sheetData>
  <mergeCells count="10">
    <mergeCell ref="B1:J1"/>
    <mergeCell ref="C19:D19"/>
    <mergeCell ref="C20:D20"/>
    <mergeCell ref="B24:G24"/>
    <mergeCell ref="B15:D15"/>
    <mergeCell ref="C16:D16"/>
    <mergeCell ref="C17:D17"/>
    <mergeCell ref="C18:D18"/>
    <mergeCell ref="B21:D21"/>
    <mergeCell ref="B22:G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7"/>
  <sheetViews>
    <sheetView tabSelected="1" topLeftCell="A45" zoomScale="90" zoomScaleNormal="90" workbookViewId="0">
      <selection activeCell="D59" sqref="D59"/>
    </sheetView>
  </sheetViews>
  <sheetFormatPr defaultColWidth="11.59765625" defaultRowHeight="14.25" x14ac:dyDescent="0.45"/>
  <cols>
    <col min="1" max="1" width="3.53125" style="1" customWidth="1"/>
    <col min="2" max="2" width="30.1328125" style="1" bestFit="1" customWidth="1"/>
    <col min="3" max="3" width="9.265625" style="1" bestFit="1" customWidth="1"/>
    <col min="4" max="4" width="46.796875" style="1" bestFit="1" customWidth="1"/>
    <col min="5" max="5" width="6.6640625" style="1" bestFit="1" customWidth="1"/>
    <col min="6" max="6" width="6.265625" style="1" bestFit="1" customWidth="1"/>
    <col min="7" max="7" width="6.59765625" style="1" bestFit="1" customWidth="1"/>
    <col min="8" max="8" width="6.265625" style="1" bestFit="1" customWidth="1"/>
    <col min="9" max="9" width="6.86328125" style="1" bestFit="1" customWidth="1"/>
    <col min="10" max="10" width="6.6640625" style="1" bestFit="1" customWidth="1"/>
    <col min="11" max="11" width="8.6640625" style="1" bestFit="1" customWidth="1"/>
    <col min="12" max="12" width="9.73046875" style="1" bestFit="1" customWidth="1"/>
    <col min="13" max="13" width="14" style="1" bestFit="1" customWidth="1"/>
    <col min="14" max="16384" width="11.59765625" style="1"/>
  </cols>
  <sheetData>
    <row r="1" spans="2:13" ht="14.65" thickBot="1" x14ac:dyDescent="0.5">
      <c r="B1" s="142" t="s">
        <v>56</v>
      </c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4"/>
    </row>
    <row r="2" spans="2:13" ht="14.65" thickBot="1" x14ac:dyDescent="0.5">
      <c r="B2" s="62" t="s">
        <v>1</v>
      </c>
      <c r="C2" s="63" t="s">
        <v>15</v>
      </c>
      <c r="D2" s="63" t="s">
        <v>14</v>
      </c>
      <c r="E2" s="64">
        <v>46388</v>
      </c>
      <c r="F2" s="64">
        <v>46419</v>
      </c>
      <c r="G2" s="64">
        <v>46447</v>
      </c>
      <c r="H2" s="64">
        <v>46478</v>
      </c>
      <c r="I2" s="64">
        <v>46508</v>
      </c>
      <c r="J2" s="64">
        <v>46539</v>
      </c>
      <c r="K2" s="65" t="s">
        <v>29</v>
      </c>
      <c r="L2" s="66" t="s">
        <v>31</v>
      </c>
      <c r="M2" s="67" t="s">
        <v>30</v>
      </c>
    </row>
    <row r="3" spans="2:13" x14ac:dyDescent="0.45">
      <c r="B3" s="28" t="s">
        <v>24</v>
      </c>
      <c r="C3" s="6">
        <v>200</v>
      </c>
      <c r="D3" s="5" t="s">
        <v>6</v>
      </c>
      <c r="E3" s="6">
        <v>0.25</v>
      </c>
      <c r="F3" s="6">
        <v>0.25</v>
      </c>
      <c r="G3" s="6">
        <v>0.25</v>
      </c>
      <c r="H3" s="6">
        <v>0.25</v>
      </c>
      <c r="I3" s="6">
        <v>0.25</v>
      </c>
      <c r="J3" s="31">
        <v>0.25</v>
      </c>
      <c r="K3" s="42">
        <f t="shared" ref="K3:K14" si="0">SUM(E3:J3)*C3*160</f>
        <v>48000</v>
      </c>
      <c r="L3" s="43">
        <v>100</v>
      </c>
      <c r="M3" s="11">
        <f>K3*(100-L3)/100</f>
        <v>0</v>
      </c>
    </row>
    <row r="4" spans="2:13" x14ac:dyDescent="0.45">
      <c r="B4" s="19" t="s">
        <v>8</v>
      </c>
      <c r="C4" s="4">
        <v>75</v>
      </c>
      <c r="D4" s="3" t="s">
        <v>6</v>
      </c>
      <c r="E4" s="4">
        <v>0.5</v>
      </c>
      <c r="F4" s="4">
        <v>0.5</v>
      </c>
      <c r="G4" s="4">
        <v>0.5</v>
      </c>
      <c r="H4" s="4">
        <v>0.5</v>
      </c>
      <c r="I4" s="4">
        <v>0.5</v>
      </c>
      <c r="J4" s="14">
        <v>0.5</v>
      </c>
      <c r="K4" s="45">
        <f t="shared" si="0"/>
        <v>36000</v>
      </c>
      <c r="L4" s="46">
        <v>90</v>
      </c>
      <c r="M4" s="12">
        <f>K4*(100-L4)/100</f>
        <v>3600</v>
      </c>
    </row>
    <row r="5" spans="2:13" x14ac:dyDescent="0.45">
      <c r="B5" s="19" t="s">
        <v>32</v>
      </c>
      <c r="C5" s="4">
        <v>40</v>
      </c>
      <c r="D5" s="3" t="s">
        <v>38</v>
      </c>
      <c r="E5" s="4">
        <v>4</v>
      </c>
      <c r="F5" s="4">
        <v>4</v>
      </c>
      <c r="G5" s="4">
        <v>4</v>
      </c>
      <c r="H5" s="4">
        <v>4</v>
      </c>
      <c r="I5" s="4">
        <v>4</v>
      </c>
      <c r="J5" s="4">
        <v>4</v>
      </c>
      <c r="K5" s="45">
        <f t="shared" si="0"/>
        <v>153600</v>
      </c>
      <c r="L5" s="46">
        <v>90</v>
      </c>
      <c r="M5" s="12">
        <f t="shared" ref="M5:M13" si="1">K5*(100-L5)/100</f>
        <v>15360</v>
      </c>
    </row>
    <row r="6" spans="2:13" x14ac:dyDescent="0.45">
      <c r="B6" s="19" t="s">
        <v>16</v>
      </c>
      <c r="C6" s="4">
        <v>25</v>
      </c>
      <c r="D6" s="3" t="s">
        <v>21</v>
      </c>
      <c r="E6" s="4">
        <v>4</v>
      </c>
      <c r="F6" s="4">
        <v>4</v>
      </c>
      <c r="G6" s="4">
        <v>4</v>
      </c>
      <c r="H6" s="4">
        <v>4</v>
      </c>
      <c r="I6" s="4">
        <v>4</v>
      </c>
      <c r="J6" s="4">
        <v>4</v>
      </c>
      <c r="K6" s="45">
        <f t="shared" si="0"/>
        <v>96000</v>
      </c>
      <c r="L6" s="46">
        <v>100</v>
      </c>
      <c r="M6" s="12">
        <f t="shared" si="1"/>
        <v>0</v>
      </c>
    </row>
    <row r="7" spans="2:13" x14ac:dyDescent="0.45">
      <c r="B7" s="19" t="s">
        <v>33</v>
      </c>
      <c r="C7" s="4">
        <v>40</v>
      </c>
      <c r="D7" s="3" t="s">
        <v>12</v>
      </c>
      <c r="E7" s="4">
        <v>4</v>
      </c>
      <c r="F7" s="4">
        <v>4</v>
      </c>
      <c r="G7" s="4">
        <v>4</v>
      </c>
      <c r="H7" s="4">
        <v>4</v>
      </c>
      <c r="I7" s="4">
        <v>4</v>
      </c>
      <c r="J7" s="4">
        <v>4</v>
      </c>
      <c r="K7" s="45">
        <f t="shared" si="0"/>
        <v>153600</v>
      </c>
      <c r="L7" s="46">
        <v>90</v>
      </c>
      <c r="M7" s="12">
        <f t="shared" si="1"/>
        <v>15360</v>
      </c>
    </row>
    <row r="8" spans="2:13" x14ac:dyDescent="0.45">
      <c r="B8" s="19" t="s">
        <v>10</v>
      </c>
      <c r="C8" s="4">
        <v>25</v>
      </c>
      <c r="D8" s="3" t="s">
        <v>12</v>
      </c>
      <c r="E8" s="4">
        <v>4</v>
      </c>
      <c r="F8" s="4">
        <v>4</v>
      </c>
      <c r="G8" s="4">
        <v>4</v>
      </c>
      <c r="H8" s="4">
        <v>4</v>
      </c>
      <c r="I8" s="4">
        <v>4</v>
      </c>
      <c r="J8" s="4">
        <v>4</v>
      </c>
      <c r="K8" s="45">
        <f t="shared" si="0"/>
        <v>96000</v>
      </c>
      <c r="L8" s="46">
        <v>100</v>
      </c>
      <c r="M8" s="12">
        <f t="shared" si="1"/>
        <v>0</v>
      </c>
    </row>
    <row r="9" spans="2:13" x14ac:dyDescent="0.45">
      <c r="B9" s="19" t="s">
        <v>34</v>
      </c>
      <c r="C9" s="4">
        <v>40</v>
      </c>
      <c r="D9" s="3" t="s">
        <v>11</v>
      </c>
      <c r="E9" s="4">
        <v>4</v>
      </c>
      <c r="F9" s="4">
        <v>4</v>
      </c>
      <c r="G9" s="4">
        <v>4</v>
      </c>
      <c r="H9" s="4">
        <v>4</v>
      </c>
      <c r="I9" s="4">
        <v>4</v>
      </c>
      <c r="J9" s="4">
        <v>4</v>
      </c>
      <c r="K9" s="45">
        <f t="shared" si="0"/>
        <v>153600</v>
      </c>
      <c r="L9" s="46">
        <v>90</v>
      </c>
      <c r="M9" s="12">
        <f t="shared" si="1"/>
        <v>15360</v>
      </c>
    </row>
    <row r="10" spans="2:13" x14ac:dyDescent="0.45">
      <c r="B10" s="19" t="s">
        <v>9</v>
      </c>
      <c r="C10" s="4">
        <v>25</v>
      </c>
      <c r="D10" s="3" t="s">
        <v>11</v>
      </c>
      <c r="E10" s="4">
        <v>4</v>
      </c>
      <c r="F10" s="4">
        <v>4</v>
      </c>
      <c r="G10" s="4">
        <v>4</v>
      </c>
      <c r="H10" s="4">
        <v>4</v>
      </c>
      <c r="I10" s="4">
        <v>4</v>
      </c>
      <c r="J10" s="4">
        <v>4</v>
      </c>
      <c r="K10" s="45">
        <f t="shared" si="0"/>
        <v>96000</v>
      </c>
      <c r="L10" s="46">
        <v>100</v>
      </c>
      <c r="M10" s="12">
        <f t="shared" si="1"/>
        <v>0</v>
      </c>
    </row>
    <row r="11" spans="2:13" x14ac:dyDescent="0.45">
      <c r="B11" s="19" t="s">
        <v>35</v>
      </c>
      <c r="C11" s="4">
        <v>40</v>
      </c>
      <c r="D11" s="3" t="s">
        <v>13</v>
      </c>
      <c r="E11" s="4">
        <v>2</v>
      </c>
      <c r="F11" s="4">
        <v>2</v>
      </c>
      <c r="G11" s="4">
        <v>2</v>
      </c>
      <c r="H11" s="4">
        <v>2</v>
      </c>
      <c r="I11" s="4">
        <v>2</v>
      </c>
      <c r="J11" s="4">
        <v>2</v>
      </c>
      <c r="K11" s="45">
        <f t="shared" si="0"/>
        <v>76800</v>
      </c>
      <c r="L11" s="46">
        <v>90</v>
      </c>
      <c r="M11" s="12">
        <f t="shared" si="1"/>
        <v>7680</v>
      </c>
    </row>
    <row r="12" spans="2:13" x14ac:dyDescent="0.45">
      <c r="B12" s="19" t="s">
        <v>36</v>
      </c>
      <c r="C12" s="4">
        <v>25</v>
      </c>
      <c r="D12" s="3" t="s">
        <v>13</v>
      </c>
      <c r="E12" s="4">
        <v>2</v>
      </c>
      <c r="F12" s="4">
        <v>2</v>
      </c>
      <c r="G12" s="4">
        <v>2</v>
      </c>
      <c r="H12" s="4">
        <v>2</v>
      </c>
      <c r="I12" s="4">
        <v>2</v>
      </c>
      <c r="J12" s="4">
        <v>2</v>
      </c>
      <c r="K12" s="45">
        <f t="shared" si="0"/>
        <v>48000</v>
      </c>
      <c r="L12" s="46">
        <v>100</v>
      </c>
      <c r="M12" s="12">
        <f t="shared" si="1"/>
        <v>0</v>
      </c>
    </row>
    <row r="13" spans="2:13" x14ac:dyDescent="0.45">
      <c r="B13" s="23" t="s">
        <v>37</v>
      </c>
      <c r="C13" s="10">
        <v>40</v>
      </c>
      <c r="D13" s="9" t="s">
        <v>20</v>
      </c>
      <c r="E13" s="10">
        <v>4</v>
      </c>
      <c r="F13" s="10">
        <v>4</v>
      </c>
      <c r="G13" s="10">
        <v>4</v>
      </c>
      <c r="H13" s="10">
        <v>4</v>
      </c>
      <c r="I13" s="10">
        <v>4</v>
      </c>
      <c r="J13" s="10">
        <v>4</v>
      </c>
      <c r="K13" s="47">
        <f t="shared" si="0"/>
        <v>153600</v>
      </c>
      <c r="L13" s="48">
        <v>90</v>
      </c>
      <c r="M13" s="12">
        <f t="shared" si="1"/>
        <v>15360</v>
      </c>
    </row>
    <row r="14" spans="2:13" ht="14.65" thickBot="1" x14ac:dyDescent="0.5">
      <c r="B14" s="21" t="s">
        <v>17</v>
      </c>
      <c r="C14" s="8">
        <v>25</v>
      </c>
      <c r="D14" s="7" t="s">
        <v>20</v>
      </c>
      <c r="E14" s="8">
        <v>4</v>
      </c>
      <c r="F14" s="8">
        <v>4</v>
      </c>
      <c r="G14" s="8">
        <v>4</v>
      </c>
      <c r="H14" s="8">
        <v>4</v>
      </c>
      <c r="I14" s="8">
        <v>4</v>
      </c>
      <c r="J14" s="8">
        <v>4</v>
      </c>
      <c r="K14" s="50">
        <f t="shared" si="0"/>
        <v>96000</v>
      </c>
      <c r="L14" s="51">
        <v>100</v>
      </c>
      <c r="M14" s="13">
        <f>K14*(100-L14)/100</f>
        <v>0</v>
      </c>
    </row>
    <row r="15" spans="2:13" ht="14.65" thickBot="1" x14ac:dyDescent="0.5">
      <c r="B15" s="125"/>
      <c r="C15" s="126"/>
      <c r="D15" s="126"/>
      <c r="E15" s="26">
        <f t="shared" ref="E15:J15" si="2">SUM(E3:E14)</f>
        <v>36.75</v>
      </c>
      <c r="F15" s="26">
        <f t="shared" ref="F15:H15" si="3">SUM(F3:F14)</f>
        <v>36.75</v>
      </c>
      <c r="G15" s="26">
        <f t="shared" si="3"/>
        <v>36.75</v>
      </c>
      <c r="H15" s="26">
        <f t="shared" si="3"/>
        <v>36.75</v>
      </c>
      <c r="I15" s="26">
        <f t="shared" si="2"/>
        <v>36.75</v>
      </c>
      <c r="J15" s="32">
        <f t="shared" si="2"/>
        <v>36.75</v>
      </c>
      <c r="K15" s="68">
        <f>SUM(K3:K14)</f>
        <v>1207200</v>
      </c>
      <c r="M15" s="69">
        <f>SUM(M3:M14)</f>
        <v>72720</v>
      </c>
    </row>
    <row r="16" spans="2:13" ht="14.65" thickBot="1" x14ac:dyDescent="0.5">
      <c r="B16" s="62" t="s">
        <v>3</v>
      </c>
      <c r="C16" s="141" t="s">
        <v>2</v>
      </c>
      <c r="D16" s="141"/>
      <c r="E16" s="64">
        <v>46388</v>
      </c>
      <c r="F16" s="64">
        <v>46419</v>
      </c>
      <c r="G16" s="64">
        <v>46447</v>
      </c>
      <c r="H16" s="64">
        <v>46478</v>
      </c>
      <c r="I16" s="64">
        <v>46508</v>
      </c>
      <c r="J16" s="64">
        <v>46539</v>
      </c>
      <c r="K16" s="65" t="s">
        <v>29</v>
      </c>
    </row>
    <row r="17" spans="1:13" x14ac:dyDescent="0.45">
      <c r="B17" s="28" t="s">
        <v>27</v>
      </c>
      <c r="C17" s="123" t="s">
        <v>4</v>
      </c>
      <c r="D17" s="123"/>
      <c r="E17" s="6">
        <v>200</v>
      </c>
      <c r="F17" s="6">
        <v>200</v>
      </c>
      <c r="G17" s="6">
        <v>200</v>
      </c>
      <c r="H17" s="6">
        <v>200</v>
      </c>
      <c r="I17" s="6">
        <v>200</v>
      </c>
      <c r="J17" s="31">
        <v>200</v>
      </c>
      <c r="K17" s="42">
        <f>SUM(E17:J17)</f>
        <v>1200</v>
      </c>
    </row>
    <row r="18" spans="1:13" x14ac:dyDescent="0.45">
      <c r="B18" s="19" t="s">
        <v>28</v>
      </c>
      <c r="C18" s="130" t="s">
        <v>5</v>
      </c>
      <c r="D18" s="130"/>
      <c r="E18" s="4">
        <v>200</v>
      </c>
      <c r="F18" s="4">
        <v>200</v>
      </c>
      <c r="G18" s="4">
        <v>200</v>
      </c>
      <c r="H18" s="4">
        <v>200</v>
      </c>
      <c r="I18" s="4">
        <v>200</v>
      </c>
      <c r="J18" s="14">
        <v>200</v>
      </c>
      <c r="K18" s="45">
        <f>SUM(E18:J18)</f>
        <v>1200</v>
      </c>
    </row>
    <row r="19" spans="1:13" x14ac:dyDescent="0.45">
      <c r="B19" s="19" t="s">
        <v>43</v>
      </c>
      <c r="C19" s="130" t="s">
        <v>4</v>
      </c>
      <c r="D19" s="130"/>
      <c r="E19" s="4">
        <v>500</v>
      </c>
      <c r="F19" s="4">
        <v>500</v>
      </c>
      <c r="G19" s="4">
        <v>500</v>
      </c>
      <c r="H19" s="4">
        <v>500</v>
      </c>
      <c r="I19" s="4">
        <v>500</v>
      </c>
      <c r="J19" s="14">
        <v>500</v>
      </c>
      <c r="K19" s="45">
        <f>SUM(E19:J19)</f>
        <v>3000</v>
      </c>
    </row>
    <row r="20" spans="1:13" ht="14.65" thickBot="1" x14ac:dyDescent="0.5">
      <c r="B20" s="21" t="s">
        <v>44</v>
      </c>
      <c r="C20" s="124" t="s">
        <v>5</v>
      </c>
      <c r="D20" s="124"/>
      <c r="E20" s="8">
        <v>500</v>
      </c>
      <c r="F20" s="8">
        <v>500</v>
      </c>
      <c r="G20" s="8">
        <v>500</v>
      </c>
      <c r="H20" s="8">
        <v>500</v>
      </c>
      <c r="I20" s="8">
        <v>500</v>
      </c>
      <c r="J20" s="16">
        <v>500</v>
      </c>
      <c r="K20" s="50">
        <f>SUM(E20:J20)</f>
        <v>3000</v>
      </c>
    </row>
    <row r="21" spans="1:13" ht="14.65" thickBot="1" x14ac:dyDescent="0.5">
      <c r="B21" s="125"/>
      <c r="C21" s="126"/>
      <c r="D21" s="126"/>
      <c r="E21" s="52">
        <f>SUM(E17:E20)</f>
        <v>1400</v>
      </c>
      <c r="F21" s="52">
        <f t="shared" ref="F21:J21" si="4">SUM(F17:F20)</f>
        <v>1400</v>
      </c>
      <c r="G21" s="52">
        <f t="shared" si="4"/>
        <v>1400</v>
      </c>
      <c r="H21" s="52">
        <f t="shared" si="4"/>
        <v>1400</v>
      </c>
      <c r="I21" s="52">
        <f t="shared" si="4"/>
        <v>1400</v>
      </c>
      <c r="J21" s="52">
        <f t="shared" si="4"/>
        <v>1400</v>
      </c>
      <c r="K21" s="68">
        <f>SUM(K17:K20)</f>
        <v>8400</v>
      </c>
    </row>
    <row r="22" spans="1:13" ht="14.65" thickBot="1" x14ac:dyDescent="0.5">
      <c r="B22" s="135" t="s">
        <v>45</v>
      </c>
      <c r="C22" s="136"/>
      <c r="D22" s="136"/>
      <c r="E22" s="136"/>
      <c r="F22" s="136"/>
      <c r="G22" s="136"/>
      <c r="H22" s="136"/>
      <c r="I22" s="136"/>
      <c r="J22" s="137"/>
      <c r="K22" s="70">
        <f>M15+K21</f>
        <v>81120</v>
      </c>
    </row>
    <row r="23" spans="1:13" ht="14.65" thickBot="1" x14ac:dyDescent="0.5"/>
    <row r="24" spans="1:13" ht="14.65" thickBot="1" x14ac:dyDescent="0.5">
      <c r="B24" s="138" t="s">
        <v>57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40"/>
    </row>
    <row r="25" spans="1:13" ht="14.65" thickBot="1" x14ac:dyDescent="0.5">
      <c r="A25"/>
      <c r="B25" s="87" t="s">
        <v>58</v>
      </c>
      <c r="C25" s="88" t="s">
        <v>15</v>
      </c>
      <c r="D25" s="88" t="s">
        <v>59</v>
      </c>
      <c r="E25" s="89">
        <v>46388</v>
      </c>
      <c r="F25" s="89">
        <v>46419</v>
      </c>
      <c r="G25" s="89">
        <v>46447</v>
      </c>
      <c r="H25" s="89">
        <v>46478</v>
      </c>
      <c r="I25" s="89">
        <v>46508</v>
      </c>
      <c r="J25" s="89">
        <v>46539</v>
      </c>
      <c r="K25" s="88" t="s">
        <v>29</v>
      </c>
      <c r="L25" s="88" t="s">
        <v>31</v>
      </c>
      <c r="M25" s="90" t="s">
        <v>30</v>
      </c>
    </row>
    <row r="26" spans="1:13" x14ac:dyDescent="0.45">
      <c r="A26"/>
      <c r="B26" s="80" t="s">
        <v>60</v>
      </c>
      <c r="C26" s="81">
        <v>40</v>
      </c>
      <c r="D26" s="82" t="s">
        <v>61</v>
      </c>
      <c r="E26" s="83">
        <v>1</v>
      </c>
      <c r="F26" s="83">
        <v>1</v>
      </c>
      <c r="G26" s="83">
        <v>1</v>
      </c>
      <c r="H26" s="83">
        <v>1</v>
      </c>
      <c r="I26" s="83">
        <v>1</v>
      </c>
      <c r="J26" s="83">
        <v>1</v>
      </c>
      <c r="K26" s="84">
        <f>SUM(E26:J26)*C26*160</f>
        <v>38400</v>
      </c>
      <c r="L26" s="85">
        <v>90</v>
      </c>
      <c r="M26" s="86">
        <f>K26*(1-L26/100)</f>
        <v>3839.9999999999991</v>
      </c>
    </row>
    <row r="27" spans="1:13" x14ac:dyDescent="0.45">
      <c r="A27"/>
      <c r="B27" s="79" t="s">
        <v>62</v>
      </c>
      <c r="C27" s="72">
        <v>25</v>
      </c>
      <c r="D27" s="73" t="s">
        <v>63</v>
      </c>
      <c r="E27" s="74">
        <v>1</v>
      </c>
      <c r="F27" s="74">
        <v>1</v>
      </c>
      <c r="G27" s="74">
        <v>1</v>
      </c>
      <c r="H27" s="74">
        <v>1</v>
      </c>
      <c r="I27" s="74">
        <v>1</v>
      </c>
      <c r="J27" s="74">
        <v>1</v>
      </c>
      <c r="K27" s="75">
        <f>SUM(E27:J27)*C27*160</f>
        <v>24000</v>
      </c>
      <c r="L27" s="76">
        <v>90</v>
      </c>
      <c r="M27" s="78">
        <f>K27*(1-L27/100)</f>
        <v>2399.9999999999995</v>
      </c>
    </row>
    <row r="28" spans="1:13" x14ac:dyDescent="0.45">
      <c r="A28"/>
      <c r="B28" s="77" t="s">
        <v>64</v>
      </c>
      <c r="C28" s="72">
        <v>25</v>
      </c>
      <c r="D28" s="73" t="s">
        <v>65</v>
      </c>
      <c r="E28" s="74">
        <v>1</v>
      </c>
      <c r="F28" s="74">
        <v>1</v>
      </c>
      <c r="G28" s="74">
        <v>1</v>
      </c>
      <c r="H28" s="74">
        <v>1</v>
      </c>
      <c r="I28" s="74">
        <v>1</v>
      </c>
      <c r="J28" s="74">
        <v>1</v>
      </c>
      <c r="K28" s="75">
        <f>SUM(E28:J28)*C28*160</f>
        <v>24000</v>
      </c>
      <c r="L28" s="76">
        <v>90</v>
      </c>
      <c r="M28" s="78">
        <f>K28*(1-L28/100)</f>
        <v>2399.9999999999995</v>
      </c>
    </row>
    <row r="29" spans="1:13" x14ac:dyDescent="0.45">
      <c r="A29"/>
      <c r="B29" s="77" t="s">
        <v>66</v>
      </c>
      <c r="C29" s="72">
        <v>25</v>
      </c>
      <c r="D29" s="73" t="s">
        <v>67</v>
      </c>
      <c r="E29" s="74">
        <v>0</v>
      </c>
      <c r="F29" s="74">
        <v>0</v>
      </c>
      <c r="G29" s="74">
        <v>0.5</v>
      </c>
      <c r="H29" s="74">
        <v>0.5</v>
      </c>
      <c r="I29" s="74">
        <v>0.5</v>
      </c>
      <c r="J29" s="74">
        <v>0.5</v>
      </c>
      <c r="K29" s="75">
        <f>SUM(E29:J29)*C29*160</f>
        <v>8000</v>
      </c>
      <c r="L29" s="76">
        <v>90</v>
      </c>
      <c r="M29" s="78">
        <f>K29*(1-L29/100)</f>
        <v>799.99999999999977</v>
      </c>
    </row>
    <row r="30" spans="1:13" ht="14.65" thickBot="1" x14ac:dyDescent="0.5">
      <c r="A30"/>
      <c r="B30" s="91" t="s">
        <v>68</v>
      </c>
      <c r="C30" s="92">
        <v>25</v>
      </c>
      <c r="D30" s="93" t="s">
        <v>69</v>
      </c>
      <c r="E30" s="94">
        <v>0</v>
      </c>
      <c r="F30" s="94">
        <v>0</v>
      </c>
      <c r="G30" s="94">
        <v>0.5</v>
      </c>
      <c r="H30" s="94">
        <v>0.5</v>
      </c>
      <c r="I30" s="94">
        <v>0.5</v>
      </c>
      <c r="J30" s="94">
        <v>0.5</v>
      </c>
      <c r="K30" s="95">
        <f>SUM(E30:J30)*C30*160</f>
        <v>8000</v>
      </c>
      <c r="L30" s="96">
        <v>90</v>
      </c>
      <c r="M30" s="97">
        <f>K30*(1-L30/100)</f>
        <v>799.99999999999977</v>
      </c>
    </row>
    <row r="31" spans="1:13" ht="14.65" thickBot="1" x14ac:dyDescent="0.5">
      <c r="A31"/>
      <c r="B31" s="99" t="s">
        <v>70</v>
      </c>
      <c r="C31" s="100"/>
      <c r="D31" s="101"/>
      <c r="E31" s="102"/>
      <c r="F31" s="102"/>
      <c r="G31" s="102"/>
      <c r="H31" s="102"/>
      <c r="I31" s="102"/>
      <c r="J31" s="102"/>
      <c r="K31" s="103">
        <f>SUM(K26:K30)</f>
        <v>102400</v>
      </c>
      <c r="L31" s="104"/>
      <c r="M31" s="105">
        <f>SUM(M26:M30)</f>
        <v>10239.999999999998</v>
      </c>
    </row>
    <row r="32" spans="1:13" x14ac:dyDescent="0.45">
      <c r="A32"/>
      <c r="B32" s="80" t="s">
        <v>71</v>
      </c>
      <c r="C32" s="81"/>
      <c r="D32" s="98" t="s">
        <v>72</v>
      </c>
      <c r="E32" s="83">
        <v>0</v>
      </c>
      <c r="F32" s="83">
        <v>0</v>
      </c>
      <c r="G32" s="83">
        <v>250</v>
      </c>
      <c r="H32" s="83">
        <v>250</v>
      </c>
      <c r="I32" s="83">
        <v>750</v>
      </c>
      <c r="J32" s="83">
        <v>750</v>
      </c>
      <c r="K32" s="84">
        <f t="shared" ref="K32:K37" si="5">SUM(E32:J32)</f>
        <v>2000</v>
      </c>
      <c r="L32" s="85">
        <v>0</v>
      </c>
      <c r="M32" s="86">
        <f t="shared" ref="M32:M37" si="6">K32*(1-L32/100)</f>
        <v>2000</v>
      </c>
    </row>
    <row r="33" spans="1:13" x14ac:dyDescent="0.45">
      <c r="A33"/>
      <c r="B33" s="79" t="s">
        <v>73</v>
      </c>
      <c r="C33" s="72"/>
      <c r="D33" s="71" t="s">
        <v>74</v>
      </c>
      <c r="E33" s="74">
        <v>0</v>
      </c>
      <c r="F33" s="74">
        <v>0</v>
      </c>
      <c r="G33" s="74">
        <v>200</v>
      </c>
      <c r="H33" s="74">
        <v>200</v>
      </c>
      <c r="I33" s="74">
        <v>600</v>
      </c>
      <c r="J33" s="74">
        <v>600</v>
      </c>
      <c r="K33" s="75">
        <f t="shared" si="5"/>
        <v>1600</v>
      </c>
      <c r="L33" s="76">
        <v>0</v>
      </c>
      <c r="M33" s="78">
        <f t="shared" si="6"/>
        <v>1600</v>
      </c>
    </row>
    <row r="34" spans="1:13" x14ac:dyDescent="0.45">
      <c r="A34"/>
      <c r="B34" s="77" t="s">
        <v>75</v>
      </c>
      <c r="C34" s="72"/>
      <c r="D34" s="71" t="s">
        <v>76</v>
      </c>
      <c r="E34" s="74">
        <v>0</v>
      </c>
      <c r="F34" s="74">
        <v>0</v>
      </c>
      <c r="G34" s="74">
        <v>100</v>
      </c>
      <c r="H34" s="74">
        <v>100</v>
      </c>
      <c r="I34" s="74">
        <v>500</v>
      </c>
      <c r="J34" s="74">
        <v>500</v>
      </c>
      <c r="K34" s="75">
        <f t="shared" si="5"/>
        <v>1200</v>
      </c>
      <c r="L34" s="76">
        <v>0</v>
      </c>
      <c r="M34" s="78">
        <f t="shared" si="6"/>
        <v>1200</v>
      </c>
    </row>
    <row r="35" spans="1:13" x14ac:dyDescent="0.45">
      <c r="A35"/>
      <c r="B35" s="77" t="s">
        <v>77</v>
      </c>
      <c r="C35" s="72"/>
      <c r="D35" s="71" t="s">
        <v>78</v>
      </c>
      <c r="E35" s="74">
        <v>0</v>
      </c>
      <c r="F35" s="74">
        <v>0</v>
      </c>
      <c r="G35" s="74">
        <v>0</v>
      </c>
      <c r="H35" s="74">
        <v>0</v>
      </c>
      <c r="I35" s="74">
        <v>400</v>
      </c>
      <c r="J35" s="74">
        <v>400</v>
      </c>
      <c r="K35" s="75">
        <f t="shared" si="5"/>
        <v>800</v>
      </c>
      <c r="L35" s="76">
        <v>0</v>
      </c>
      <c r="M35" s="78">
        <f t="shared" si="6"/>
        <v>800</v>
      </c>
    </row>
    <row r="36" spans="1:13" x14ac:dyDescent="0.45">
      <c r="A36"/>
      <c r="B36" s="79" t="s">
        <v>79</v>
      </c>
      <c r="C36" s="72"/>
      <c r="D36" s="73" t="s">
        <v>80</v>
      </c>
      <c r="E36" s="74">
        <v>50</v>
      </c>
      <c r="F36" s="74">
        <v>50</v>
      </c>
      <c r="G36" s="74">
        <v>100</v>
      </c>
      <c r="H36" s="74">
        <v>100</v>
      </c>
      <c r="I36" s="74">
        <v>200</v>
      </c>
      <c r="J36" s="74">
        <v>200</v>
      </c>
      <c r="K36" s="75">
        <f t="shared" si="5"/>
        <v>700</v>
      </c>
      <c r="L36" s="76">
        <v>0</v>
      </c>
      <c r="M36" s="78">
        <f t="shared" si="6"/>
        <v>700</v>
      </c>
    </row>
    <row r="37" spans="1:13" ht="14.65" thickBot="1" x14ac:dyDescent="0.5">
      <c r="A37"/>
      <c r="B37" s="91" t="s">
        <v>81</v>
      </c>
      <c r="C37" s="92"/>
      <c r="D37" s="106" t="s">
        <v>82</v>
      </c>
      <c r="E37" s="94">
        <v>0</v>
      </c>
      <c r="F37" s="94">
        <v>0</v>
      </c>
      <c r="G37" s="94">
        <v>300</v>
      </c>
      <c r="H37" s="94">
        <v>300</v>
      </c>
      <c r="I37" s="94">
        <v>1500</v>
      </c>
      <c r="J37" s="94">
        <v>1500</v>
      </c>
      <c r="K37" s="95">
        <f t="shared" si="5"/>
        <v>3600</v>
      </c>
      <c r="L37" s="96">
        <v>0</v>
      </c>
      <c r="M37" s="97">
        <f t="shared" si="6"/>
        <v>3600</v>
      </c>
    </row>
    <row r="38" spans="1:13" ht="14.65" thickBot="1" x14ac:dyDescent="0.5">
      <c r="A38"/>
      <c r="B38" s="99" t="s">
        <v>83</v>
      </c>
      <c r="C38" s="100"/>
      <c r="D38" s="101"/>
      <c r="E38" s="102"/>
      <c r="F38" s="102"/>
      <c r="G38" s="102"/>
      <c r="H38" s="102"/>
      <c r="I38" s="102"/>
      <c r="J38" s="102"/>
      <c r="K38" s="103">
        <f>SUM(K32:K37)</f>
        <v>9900</v>
      </c>
      <c r="L38" s="104"/>
      <c r="M38" s="105">
        <f>SUM(M32:M37)</f>
        <v>9900</v>
      </c>
    </row>
    <row r="39" spans="1:13" x14ac:dyDescent="0.45">
      <c r="A39"/>
      <c r="B39" s="80" t="s">
        <v>84</v>
      </c>
      <c r="C39" s="81"/>
      <c r="D39" s="98" t="s">
        <v>85</v>
      </c>
      <c r="E39" s="83">
        <v>25</v>
      </c>
      <c r="F39" s="83">
        <v>25</v>
      </c>
      <c r="G39" s="83">
        <v>25</v>
      </c>
      <c r="H39" s="83">
        <v>25</v>
      </c>
      <c r="I39" s="83">
        <v>25</v>
      </c>
      <c r="J39" s="83">
        <v>25</v>
      </c>
      <c r="K39" s="84">
        <f>SUM(E39:J39)</f>
        <v>150</v>
      </c>
      <c r="L39" s="85">
        <v>0</v>
      </c>
      <c r="M39" s="86">
        <f>K39*(1-L39/100)</f>
        <v>150</v>
      </c>
    </row>
    <row r="40" spans="1:13" x14ac:dyDescent="0.45">
      <c r="A40"/>
      <c r="B40" s="79" t="s">
        <v>86</v>
      </c>
      <c r="C40" s="72"/>
      <c r="D40" s="71" t="s">
        <v>87</v>
      </c>
      <c r="E40" s="74">
        <v>20</v>
      </c>
      <c r="F40" s="74">
        <v>20</v>
      </c>
      <c r="G40" s="74">
        <v>20</v>
      </c>
      <c r="H40" s="74">
        <v>20</v>
      </c>
      <c r="I40" s="74">
        <v>20</v>
      </c>
      <c r="J40" s="74">
        <v>20</v>
      </c>
      <c r="K40" s="75">
        <f>SUM(E40:J40)</f>
        <v>120</v>
      </c>
      <c r="L40" s="76">
        <v>0</v>
      </c>
      <c r="M40" s="78">
        <f>K40*(1-L40/100)</f>
        <v>120</v>
      </c>
    </row>
    <row r="41" spans="1:13" x14ac:dyDescent="0.45">
      <c r="A41"/>
      <c r="B41" s="79" t="s">
        <v>88</v>
      </c>
      <c r="C41" s="72"/>
      <c r="D41" s="71" t="s">
        <v>89</v>
      </c>
      <c r="E41" s="74">
        <v>30</v>
      </c>
      <c r="F41" s="74">
        <v>30</v>
      </c>
      <c r="G41" s="74">
        <v>30</v>
      </c>
      <c r="H41" s="74">
        <v>30</v>
      </c>
      <c r="I41" s="74">
        <v>30</v>
      </c>
      <c r="J41" s="74">
        <v>30</v>
      </c>
      <c r="K41" s="75">
        <f>SUM(E41:J41)</f>
        <v>180</v>
      </c>
      <c r="L41" s="76">
        <v>0</v>
      </c>
      <c r="M41" s="78">
        <f>K41*(1-L41/100)</f>
        <v>180</v>
      </c>
    </row>
    <row r="42" spans="1:13" ht="14.65" thickBot="1" x14ac:dyDescent="0.5">
      <c r="A42"/>
      <c r="B42" s="107" t="s">
        <v>90</v>
      </c>
      <c r="C42" s="92"/>
      <c r="D42" s="106" t="s">
        <v>91</v>
      </c>
      <c r="E42" s="94">
        <v>50</v>
      </c>
      <c r="F42" s="94">
        <v>50</v>
      </c>
      <c r="G42" s="94">
        <v>50</v>
      </c>
      <c r="H42" s="94">
        <v>50</v>
      </c>
      <c r="I42" s="94">
        <v>50</v>
      </c>
      <c r="J42" s="94">
        <v>50</v>
      </c>
      <c r="K42" s="95">
        <f>SUM(E42:J42)</f>
        <v>300</v>
      </c>
      <c r="L42" s="96">
        <v>0</v>
      </c>
      <c r="M42" s="97">
        <f>K42*(1-L42/100)</f>
        <v>300</v>
      </c>
    </row>
    <row r="43" spans="1:13" ht="14.65" thickBot="1" x14ac:dyDescent="0.5">
      <c r="A43"/>
      <c r="B43" s="99" t="s">
        <v>92</v>
      </c>
      <c r="C43" s="100"/>
      <c r="D43" s="101"/>
      <c r="E43" s="102"/>
      <c r="F43" s="102"/>
      <c r="G43" s="102"/>
      <c r="H43" s="102"/>
      <c r="I43" s="102"/>
      <c r="J43" s="102"/>
      <c r="K43" s="103">
        <f>SUM(K39:K42)</f>
        <v>750</v>
      </c>
      <c r="L43" s="104"/>
      <c r="M43" s="105">
        <f>SUM(M39:M42)</f>
        <v>750</v>
      </c>
    </row>
    <row r="44" spans="1:13" x14ac:dyDescent="0.45">
      <c r="A44"/>
      <c r="B44" s="108" t="s">
        <v>93</v>
      </c>
      <c r="C44" s="81">
        <v>15</v>
      </c>
      <c r="D44" s="82" t="s">
        <v>94</v>
      </c>
      <c r="E44" s="83">
        <v>0.5</v>
      </c>
      <c r="F44" s="83">
        <v>0.5</v>
      </c>
      <c r="G44" s="83">
        <v>0.5</v>
      </c>
      <c r="H44" s="83">
        <v>0.5</v>
      </c>
      <c r="I44" s="83">
        <v>0.5</v>
      </c>
      <c r="J44" s="83">
        <v>0.5</v>
      </c>
      <c r="K44" s="84">
        <f>SUM(E44:J44)*C44*160</f>
        <v>7200</v>
      </c>
      <c r="L44" s="85">
        <v>90</v>
      </c>
      <c r="M44" s="86">
        <f t="shared" ref="M44:M51" si="7">K44*(1-L44/100)</f>
        <v>719.99999999999989</v>
      </c>
    </row>
    <row r="45" spans="1:13" x14ac:dyDescent="0.45">
      <c r="A45"/>
      <c r="B45" s="79" t="s">
        <v>95</v>
      </c>
      <c r="C45" s="72">
        <v>20</v>
      </c>
      <c r="D45" s="73" t="s">
        <v>96</v>
      </c>
      <c r="E45" s="74">
        <v>0.5</v>
      </c>
      <c r="F45" s="74">
        <v>0.5</v>
      </c>
      <c r="G45" s="74">
        <v>0.5</v>
      </c>
      <c r="H45" s="74">
        <v>0.5</v>
      </c>
      <c r="I45" s="74">
        <v>0.5</v>
      </c>
      <c r="J45" s="74">
        <v>0.5</v>
      </c>
      <c r="K45" s="75">
        <f>SUM(E45:J45)*C45*160</f>
        <v>9600</v>
      </c>
      <c r="L45" s="76">
        <v>90</v>
      </c>
      <c r="M45" s="78">
        <f t="shared" si="7"/>
        <v>959.99999999999977</v>
      </c>
    </row>
    <row r="46" spans="1:13" x14ac:dyDescent="0.45">
      <c r="A46"/>
      <c r="B46" s="77" t="s">
        <v>97</v>
      </c>
      <c r="C46" s="72"/>
      <c r="D46" s="73" t="s">
        <v>98</v>
      </c>
      <c r="E46" s="74">
        <v>4500</v>
      </c>
      <c r="F46" s="74">
        <v>0</v>
      </c>
      <c r="G46" s="74">
        <v>0</v>
      </c>
      <c r="H46" s="74">
        <v>0</v>
      </c>
      <c r="I46" s="74">
        <v>0</v>
      </c>
      <c r="J46" s="74">
        <v>0</v>
      </c>
      <c r="K46" s="75">
        <f>SUM(E46:J46)</f>
        <v>4500</v>
      </c>
      <c r="L46" s="76">
        <v>0</v>
      </c>
      <c r="M46" s="78">
        <f t="shared" si="7"/>
        <v>4500</v>
      </c>
    </row>
    <row r="47" spans="1:13" x14ac:dyDescent="0.45">
      <c r="A47"/>
      <c r="B47" s="77" t="s">
        <v>99</v>
      </c>
      <c r="C47" s="72"/>
      <c r="D47" s="71" t="s">
        <v>100</v>
      </c>
      <c r="E47" s="74">
        <v>200</v>
      </c>
      <c r="F47" s="74">
        <v>200</v>
      </c>
      <c r="G47" s="74">
        <v>200</v>
      </c>
      <c r="H47" s="74">
        <v>200</v>
      </c>
      <c r="I47" s="74">
        <v>200</v>
      </c>
      <c r="J47" s="74">
        <v>200</v>
      </c>
      <c r="K47" s="75">
        <f>SUM(E47:J47)</f>
        <v>1200</v>
      </c>
      <c r="L47" s="76">
        <v>0</v>
      </c>
      <c r="M47" s="78">
        <f t="shared" si="7"/>
        <v>1200</v>
      </c>
    </row>
    <row r="48" spans="1:13" x14ac:dyDescent="0.45">
      <c r="A48"/>
      <c r="B48" s="79" t="s">
        <v>101</v>
      </c>
      <c r="C48" s="72"/>
      <c r="D48" s="73" t="s">
        <v>102</v>
      </c>
      <c r="E48" s="74">
        <v>0</v>
      </c>
      <c r="F48" s="74">
        <v>0</v>
      </c>
      <c r="G48" s="74">
        <v>0</v>
      </c>
      <c r="H48" s="74">
        <v>750</v>
      </c>
      <c r="I48" s="74">
        <v>750</v>
      </c>
      <c r="J48" s="74">
        <v>750</v>
      </c>
      <c r="K48" s="75">
        <f>SUM(E48:J48)</f>
        <v>2250</v>
      </c>
      <c r="L48" s="76">
        <v>0</v>
      </c>
      <c r="M48" s="78">
        <f t="shared" si="7"/>
        <v>2250</v>
      </c>
    </row>
    <row r="49" spans="1:14" x14ac:dyDescent="0.45">
      <c r="A49"/>
      <c r="B49" s="79" t="s">
        <v>103</v>
      </c>
      <c r="C49" s="72">
        <v>80</v>
      </c>
      <c r="D49" s="73" t="s">
        <v>104</v>
      </c>
      <c r="E49" s="74">
        <v>0.1</v>
      </c>
      <c r="F49" s="74">
        <v>0.1</v>
      </c>
      <c r="G49" s="74">
        <v>0.1</v>
      </c>
      <c r="H49" s="74">
        <v>0.1</v>
      </c>
      <c r="I49" s="74">
        <v>0.1</v>
      </c>
      <c r="J49" s="74">
        <v>0.1</v>
      </c>
      <c r="K49" s="75">
        <f>SUM(E49:J49)*C49*160</f>
        <v>7680</v>
      </c>
      <c r="L49" s="76">
        <v>50</v>
      </c>
      <c r="M49" s="78">
        <f t="shared" si="7"/>
        <v>3840</v>
      </c>
    </row>
    <row r="50" spans="1:14" x14ac:dyDescent="0.45">
      <c r="A50"/>
      <c r="B50" s="79" t="s">
        <v>105</v>
      </c>
      <c r="C50" s="72"/>
      <c r="D50" s="71" t="s">
        <v>106</v>
      </c>
      <c r="E50" s="74">
        <v>200</v>
      </c>
      <c r="F50" s="74">
        <v>0</v>
      </c>
      <c r="G50" s="74">
        <v>0</v>
      </c>
      <c r="H50" s="74">
        <v>0</v>
      </c>
      <c r="I50" s="74">
        <v>0</v>
      </c>
      <c r="J50" s="74">
        <v>0</v>
      </c>
      <c r="K50" s="75">
        <f>SUM(E50:J50)</f>
        <v>200</v>
      </c>
      <c r="L50" s="76">
        <v>0</v>
      </c>
      <c r="M50" s="78">
        <f t="shared" si="7"/>
        <v>200</v>
      </c>
    </row>
    <row r="51" spans="1:14" ht="14.65" thickBot="1" x14ac:dyDescent="0.5">
      <c r="A51"/>
      <c r="B51" s="91" t="s">
        <v>107</v>
      </c>
      <c r="C51" s="92"/>
      <c r="D51" s="106" t="s">
        <v>108</v>
      </c>
      <c r="E51" s="94">
        <v>150</v>
      </c>
      <c r="F51" s="94">
        <v>150</v>
      </c>
      <c r="G51" s="94">
        <v>150</v>
      </c>
      <c r="H51" s="94">
        <v>150</v>
      </c>
      <c r="I51" s="94">
        <v>150</v>
      </c>
      <c r="J51" s="94">
        <v>150</v>
      </c>
      <c r="K51" s="95">
        <f>SUM(E51:J51)</f>
        <v>900</v>
      </c>
      <c r="L51" s="96">
        <v>0</v>
      </c>
      <c r="M51" s="97">
        <f t="shared" si="7"/>
        <v>900</v>
      </c>
    </row>
    <row r="52" spans="1:14" ht="14.65" thickBot="1" x14ac:dyDescent="0.5">
      <c r="A52"/>
      <c r="B52" s="99" t="s">
        <v>109</v>
      </c>
      <c r="C52" s="100"/>
      <c r="D52" s="101"/>
      <c r="E52" s="102"/>
      <c r="F52" s="102"/>
      <c r="G52" s="102"/>
      <c r="H52" s="102"/>
      <c r="I52" s="102"/>
      <c r="J52" s="102"/>
      <c r="K52" s="103">
        <f>SUM(K44:K51)</f>
        <v>33530</v>
      </c>
      <c r="L52" s="104"/>
      <c r="M52" s="105">
        <f>SUM(M44:M51)</f>
        <v>14570</v>
      </c>
    </row>
    <row r="53" spans="1:14" ht="14.65" thickBot="1" x14ac:dyDescent="0.5">
      <c r="A53"/>
      <c r="B53" s="109" t="s">
        <v>110</v>
      </c>
      <c r="C53" s="110"/>
      <c r="D53" s="111"/>
      <c r="E53" s="112"/>
      <c r="F53" s="112"/>
      <c r="G53" s="112"/>
      <c r="H53" s="112"/>
      <c r="I53" s="112"/>
      <c r="J53" s="112"/>
      <c r="K53" s="113">
        <f>SUM(K31,K38,K43,K52)</f>
        <v>146580</v>
      </c>
      <c r="L53" s="114"/>
      <c r="M53" s="115">
        <f>SUM(M31,M38,M43,M52)</f>
        <v>35460</v>
      </c>
    </row>
    <row r="54" spans="1:14" ht="14.65" thickBot="1" x14ac:dyDescent="0.5">
      <c r="A54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ht="14.65" thickBot="1" x14ac:dyDescent="0.5">
      <c r="A55"/>
      <c r="B55" s="109" t="s">
        <v>111</v>
      </c>
      <c r="C55" s="110"/>
      <c r="D55" s="111" t="s">
        <v>112</v>
      </c>
      <c r="E55" s="132"/>
      <c r="F55" s="133"/>
      <c r="G55" s="133"/>
      <c r="H55" s="133"/>
      <c r="I55" s="133"/>
      <c r="J55" s="134"/>
      <c r="K55" s="113">
        <f>K22+M53</f>
        <v>116580</v>
      </c>
      <c r="L55" s="114"/>
      <c r="M55" s="115">
        <f>K22+M53</f>
        <v>116580</v>
      </c>
    </row>
    <row r="57" spans="1:14" x14ac:dyDescent="0.45">
      <c r="B57" s="131" t="s">
        <v>113</v>
      </c>
      <c r="C57" s="131"/>
      <c r="D57" s="131"/>
      <c r="E57" s="131"/>
      <c r="F57" s="131"/>
      <c r="G57" s="131"/>
      <c r="H57" s="131"/>
      <c r="I57" s="131"/>
      <c r="J57" s="131"/>
      <c r="K57" s="131"/>
      <c r="L57" s="131"/>
      <c r="M57" s="131"/>
    </row>
  </sheetData>
  <mergeCells count="12">
    <mergeCell ref="B1:M1"/>
    <mergeCell ref="B15:D15"/>
    <mergeCell ref="C16:D16"/>
    <mergeCell ref="C17:D17"/>
    <mergeCell ref="C18:D18"/>
    <mergeCell ref="C19:D19"/>
    <mergeCell ref="B57:M57"/>
    <mergeCell ref="E55:J55"/>
    <mergeCell ref="C20:D20"/>
    <mergeCell ref="B21:D21"/>
    <mergeCell ref="B22:J22"/>
    <mergeCell ref="B24:M2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3"/>
  <sheetViews>
    <sheetView zoomScale="90" zoomScaleNormal="90" workbookViewId="0">
      <selection activeCell="C21" sqref="C21:D21"/>
    </sheetView>
  </sheetViews>
  <sheetFormatPr defaultColWidth="11.59765625" defaultRowHeight="14.25" x14ac:dyDescent="0.45"/>
  <cols>
    <col min="1" max="1" width="3.53125" style="1" customWidth="1"/>
    <col min="2" max="2" width="30.46484375" style="1" bestFit="1" customWidth="1"/>
    <col min="3" max="3" width="9.265625" style="1" bestFit="1" customWidth="1"/>
    <col min="4" max="4" width="39.73046875" style="1" bestFit="1" customWidth="1"/>
    <col min="5" max="5" width="6.19921875" style="1" bestFit="1" customWidth="1"/>
    <col min="6" max="6" width="6.33203125" style="1" bestFit="1" customWidth="1"/>
    <col min="7" max="7" width="6.73046875" style="1" bestFit="1" customWidth="1"/>
    <col min="8" max="8" width="6.33203125" style="1" bestFit="1" customWidth="1"/>
    <col min="9" max="9" width="6.9296875" style="1" bestFit="1" customWidth="1"/>
    <col min="10" max="10" width="6.3984375" style="1" bestFit="1" customWidth="1"/>
    <col min="11" max="11" width="8.73046875" style="1" bestFit="1" customWidth="1"/>
    <col min="12" max="12" width="9.796875" style="1" bestFit="1" customWidth="1"/>
    <col min="13" max="13" width="14.06640625" style="1" bestFit="1" customWidth="1"/>
    <col min="14" max="16384" width="11.59765625" style="1"/>
  </cols>
  <sheetData>
    <row r="1" spans="2:13" ht="14.65" thickBot="1" x14ac:dyDescent="0.5">
      <c r="B1" s="127" t="s">
        <v>114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9"/>
    </row>
    <row r="2" spans="2:13" ht="14.65" thickBot="1" x14ac:dyDescent="0.5">
      <c r="B2" s="24" t="s">
        <v>1</v>
      </c>
      <c r="C2" s="17" t="s">
        <v>15</v>
      </c>
      <c r="D2" s="17" t="s">
        <v>14</v>
      </c>
      <c r="E2" s="18">
        <v>46569</v>
      </c>
      <c r="F2" s="18">
        <v>46600</v>
      </c>
      <c r="G2" s="18">
        <v>46631</v>
      </c>
      <c r="H2" s="18">
        <v>46661</v>
      </c>
      <c r="I2" s="18">
        <v>46692</v>
      </c>
      <c r="J2" s="18">
        <v>46722</v>
      </c>
      <c r="K2" s="33" t="s">
        <v>29</v>
      </c>
      <c r="L2" s="39" t="s">
        <v>31</v>
      </c>
      <c r="M2" s="25" t="s">
        <v>30</v>
      </c>
    </row>
    <row r="3" spans="2:13" x14ac:dyDescent="0.45">
      <c r="B3" s="28" t="s">
        <v>24</v>
      </c>
      <c r="C3" s="6">
        <v>200</v>
      </c>
      <c r="D3" s="5" t="s">
        <v>6</v>
      </c>
      <c r="E3" s="6">
        <v>1</v>
      </c>
      <c r="F3" s="6">
        <v>1</v>
      </c>
      <c r="G3" s="6">
        <v>1</v>
      </c>
      <c r="H3" s="6">
        <v>1</v>
      </c>
      <c r="I3" s="6">
        <v>1</v>
      </c>
      <c r="J3" s="31">
        <v>1</v>
      </c>
      <c r="K3" s="42">
        <f t="shared" ref="K3:K15" si="0">SUM(E3:J3)*C3*160</f>
        <v>192000</v>
      </c>
      <c r="L3" s="43">
        <v>80</v>
      </c>
      <c r="M3" s="11">
        <f>K3*(100-L3)/100</f>
        <v>38400</v>
      </c>
    </row>
    <row r="4" spans="2:13" x14ac:dyDescent="0.45">
      <c r="B4" s="19" t="s">
        <v>52</v>
      </c>
      <c r="C4" s="4">
        <v>100</v>
      </c>
      <c r="D4" s="3" t="s">
        <v>6</v>
      </c>
      <c r="E4" s="4">
        <v>2</v>
      </c>
      <c r="F4" s="4">
        <v>2</v>
      </c>
      <c r="G4" s="4">
        <v>2</v>
      </c>
      <c r="H4" s="4">
        <v>2</v>
      </c>
      <c r="I4" s="4">
        <v>2</v>
      </c>
      <c r="J4" s="14">
        <v>2</v>
      </c>
      <c r="K4" s="45">
        <f t="shared" si="0"/>
        <v>192000</v>
      </c>
      <c r="L4" s="46">
        <v>80</v>
      </c>
      <c r="M4" s="12">
        <f>K4*(100-L4)/100</f>
        <v>38400</v>
      </c>
    </row>
    <row r="5" spans="2:13" x14ac:dyDescent="0.45">
      <c r="B5" s="19" t="s">
        <v>49</v>
      </c>
      <c r="C5" s="4">
        <v>60</v>
      </c>
      <c r="D5" s="3" t="s">
        <v>38</v>
      </c>
      <c r="E5" s="4">
        <v>3</v>
      </c>
      <c r="F5" s="4">
        <v>3</v>
      </c>
      <c r="G5" s="4">
        <v>4</v>
      </c>
      <c r="H5" s="4">
        <v>4</v>
      </c>
      <c r="I5" s="4">
        <v>4</v>
      </c>
      <c r="J5" s="4">
        <v>4</v>
      </c>
      <c r="K5" s="45">
        <f t="shared" si="0"/>
        <v>211200</v>
      </c>
      <c r="L5" s="46">
        <v>80</v>
      </c>
      <c r="M5" s="12">
        <f t="shared" ref="M5:M14" si="1">K5*(100-L5)/100</f>
        <v>42240</v>
      </c>
    </row>
    <row r="6" spans="2:13" x14ac:dyDescent="0.45">
      <c r="B6" s="19" t="s">
        <v>50</v>
      </c>
      <c r="C6" s="4">
        <v>40</v>
      </c>
      <c r="D6" s="3" t="s">
        <v>21</v>
      </c>
      <c r="E6" s="4">
        <v>2</v>
      </c>
      <c r="F6" s="4">
        <v>2</v>
      </c>
      <c r="G6" s="4">
        <v>2</v>
      </c>
      <c r="H6" s="4">
        <v>2</v>
      </c>
      <c r="I6" s="4">
        <v>2</v>
      </c>
      <c r="J6" s="4">
        <v>2</v>
      </c>
      <c r="K6" s="45">
        <f t="shared" si="0"/>
        <v>76800</v>
      </c>
      <c r="L6" s="46">
        <v>80</v>
      </c>
      <c r="M6" s="12">
        <f t="shared" si="1"/>
        <v>15360</v>
      </c>
    </row>
    <row r="7" spans="2:13" x14ac:dyDescent="0.45">
      <c r="B7" s="19" t="s">
        <v>51</v>
      </c>
      <c r="C7" s="4">
        <v>60</v>
      </c>
      <c r="D7" s="3" t="s">
        <v>12</v>
      </c>
      <c r="E7" s="4">
        <v>6</v>
      </c>
      <c r="F7" s="4">
        <v>6</v>
      </c>
      <c r="G7" s="4">
        <v>7</v>
      </c>
      <c r="H7" s="4">
        <v>7</v>
      </c>
      <c r="I7" s="4">
        <v>8</v>
      </c>
      <c r="J7" s="4">
        <v>8</v>
      </c>
      <c r="K7" s="45">
        <f t="shared" si="0"/>
        <v>403200</v>
      </c>
      <c r="L7" s="46">
        <v>80</v>
      </c>
      <c r="M7" s="12">
        <f t="shared" si="1"/>
        <v>80640</v>
      </c>
    </row>
    <row r="8" spans="2:13" x14ac:dyDescent="0.45">
      <c r="B8" s="19" t="s">
        <v>33</v>
      </c>
      <c r="C8" s="4">
        <v>40</v>
      </c>
      <c r="D8" s="3" t="s">
        <v>12</v>
      </c>
      <c r="E8" s="4">
        <v>4</v>
      </c>
      <c r="F8" s="4">
        <v>4</v>
      </c>
      <c r="G8" s="4">
        <v>5</v>
      </c>
      <c r="H8" s="4">
        <v>5</v>
      </c>
      <c r="I8" s="4">
        <v>6</v>
      </c>
      <c r="J8" s="4">
        <v>6</v>
      </c>
      <c r="K8" s="45">
        <f t="shared" si="0"/>
        <v>192000</v>
      </c>
      <c r="L8" s="46">
        <v>80</v>
      </c>
      <c r="M8" s="12">
        <f t="shared" si="1"/>
        <v>38400</v>
      </c>
    </row>
    <row r="9" spans="2:13" x14ac:dyDescent="0.45">
      <c r="B9" s="19" t="s">
        <v>0</v>
      </c>
      <c r="C9" s="4">
        <v>60</v>
      </c>
      <c r="D9" s="3" t="s">
        <v>11</v>
      </c>
      <c r="E9" s="4">
        <v>4</v>
      </c>
      <c r="F9" s="4">
        <v>4</v>
      </c>
      <c r="G9" s="4">
        <v>5</v>
      </c>
      <c r="H9" s="4">
        <v>5</v>
      </c>
      <c r="I9" s="4">
        <v>6</v>
      </c>
      <c r="J9" s="4">
        <v>6</v>
      </c>
      <c r="K9" s="45">
        <f t="shared" si="0"/>
        <v>288000</v>
      </c>
      <c r="L9" s="46">
        <v>80</v>
      </c>
      <c r="M9" s="12">
        <f t="shared" si="1"/>
        <v>57600</v>
      </c>
    </row>
    <row r="10" spans="2:13" x14ac:dyDescent="0.45">
      <c r="B10" s="19" t="s">
        <v>34</v>
      </c>
      <c r="C10" s="4">
        <v>40</v>
      </c>
      <c r="D10" s="3" t="s">
        <v>11</v>
      </c>
      <c r="E10" s="4">
        <v>3</v>
      </c>
      <c r="F10" s="4">
        <v>3</v>
      </c>
      <c r="G10" s="4">
        <v>4</v>
      </c>
      <c r="H10" s="4">
        <v>4</v>
      </c>
      <c r="I10" s="4">
        <v>5</v>
      </c>
      <c r="J10" s="4">
        <v>5</v>
      </c>
      <c r="K10" s="45">
        <f t="shared" si="0"/>
        <v>153600</v>
      </c>
      <c r="L10" s="46">
        <v>80</v>
      </c>
      <c r="M10" s="12">
        <f t="shared" si="1"/>
        <v>30720</v>
      </c>
    </row>
    <row r="11" spans="2:13" x14ac:dyDescent="0.45">
      <c r="B11" s="19" t="s">
        <v>53</v>
      </c>
      <c r="C11" s="4">
        <v>60</v>
      </c>
      <c r="D11" s="3" t="s">
        <v>13</v>
      </c>
      <c r="E11" s="4">
        <v>2</v>
      </c>
      <c r="F11" s="4">
        <v>2</v>
      </c>
      <c r="G11" s="4">
        <v>3</v>
      </c>
      <c r="H11" s="4">
        <v>3</v>
      </c>
      <c r="I11" s="4">
        <v>4</v>
      </c>
      <c r="J11" s="4">
        <v>4</v>
      </c>
      <c r="K11" s="45">
        <f t="shared" si="0"/>
        <v>172800</v>
      </c>
      <c r="L11" s="46">
        <v>80</v>
      </c>
      <c r="M11" s="12">
        <f t="shared" si="1"/>
        <v>34560</v>
      </c>
    </row>
    <row r="12" spans="2:13" x14ac:dyDescent="0.45">
      <c r="B12" s="19" t="s">
        <v>35</v>
      </c>
      <c r="C12" s="4">
        <v>40</v>
      </c>
      <c r="D12" s="3" t="s">
        <v>13</v>
      </c>
      <c r="E12" s="4">
        <v>2</v>
      </c>
      <c r="F12" s="4">
        <v>2</v>
      </c>
      <c r="G12" s="4">
        <v>2</v>
      </c>
      <c r="H12" s="4">
        <v>2</v>
      </c>
      <c r="I12" s="4">
        <v>2</v>
      </c>
      <c r="J12" s="4">
        <v>2</v>
      </c>
      <c r="K12" s="45">
        <f t="shared" si="0"/>
        <v>76800</v>
      </c>
      <c r="L12" s="46">
        <v>80</v>
      </c>
      <c r="M12" s="12">
        <f t="shared" si="1"/>
        <v>15360</v>
      </c>
    </row>
    <row r="13" spans="2:13" x14ac:dyDescent="0.45">
      <c r="B13" s="23" t="s">
        <v>54</v>
      </c>
      <c r="C13" s="10">
        <v>60</v>
      </c>
      <c r="D13" s="9" t="s">
        <v>20</v>
      </c>
      <c r="E13" s="10">
        <v>4</v>
      </c>
      <c r="F13" s="10">
        <v>4</v>
      </c>
      <c r="G13" s="10">
        <v>5</v>
      </c>
      <c r="H13" s="10">
        <v>5</v>
      </c>
      <c r="I13" s="10">
        <v>6</v>
      </c>
      <c r="J13" s="10">
        <v>6</v>
      </c>
      <c r="K13" s="47">
        <f t="shared" si="0"/>
        <v>288000</v>
      </c>
      <c r="L13" s="46">
        <v>80</v>
      </c>
      <c r="M13" s="12">
        <f t="shared" si="1"/>
        <v>57600</v>
      </c>
    </row>
    <row r="14" spans="2:13" x14ac:dyDescent="0.45">
      <c r="B14" s="23" t="s">
        <v>46</v>
      </c>
      <c r="C14" s="10">
        <v>40</v>
      </c>
      <c r="D14" s="9" t="s">
        <v>48</v>
      </c>
      <c r="E14" s="10">
        <v>1</v>
      </c>
      <c r="F14" s="10">
        <v>1</v>
      </c>
      <c r="G14" s="10">
        <v>1</v>
      </c>
      <c r="H14" s="10">
        <v>2</v>
      </c>
      <c r="I14" s="10">
        <v>2</v>
      </c>
      <c r="J14" s="10">
        <v>2</v>
      </c>
      <c r="K14" s="47">
        <f t="shared" si="0"/>
        <v>57600</v>
      </c>
      <c r="L14" s="46">
        <v>80</v>
      </c>
      <c r="M14" s="57">
        <f t="shared" si="1"/>
        <v>11520</v>
      </c>
    </row>
    <row r="15" spans="2:13" ht="14.65" thickBot="1" x14ac:dyDescent="0.5">
      <c r="B15" s="21" t="s">
        <v>7</v>
      </c>
      <c r="C15" s="8">
        <v>25</v>
      </c>
      <c r="D15" s="7" t="s">
        <v>47</v>
      </c>
      <c r="E15" s="8">
        <v>6</v>
      </c>
      <c r="F15" s="8">
        <v>8</v>
      </c>
      <c r="G15" s="8">
        <v>10</v>
      </c>
      <c r="H15" s="8">
        <v>12</v>
      </c>
      <c r="I15" s="8">
        <v>14</v>
      </c>
      <c r="J15" s="8">
        <v>16</v>
      </c>
      <c r="K15" s="50">
        <f t="shared" si="0"/>
        <v>264000</v>
      </c>
      <c r="L15" s="51">
        <v>80</v>
      </c>
      <c r="M15" s="13">
        <f>K15*(100-L15)/100</f>
        <v>52800</v>
      </c>
    </row>
    <row r="16" spans="2:13" ht="14.65" thickBot="1" x14ac:dyDescent="0.5">
      <c r="B16" s="125"/>
      <c r="C16" s="126"/>
      <c r="D16" s="126"/>
      <c r="E16" s="26">
        <f t="shared" ref="E16:K16" si="2">SUM(E3:E15)</f>
        <v>40</v>
      </c>
      <c r="F16" s="26">
        <f t="shared" si="2"/>
        <v>42</v>
      </c>
      <c r="G16" s="26">
        <f t="shared" si="2"/>
        <v>51</v>
      </c>
      <c r="H16" s="26">
        <f t="shared" si="2"/>
        <v>54</v>
      </c>
      <c r="I16" s="26">
        <f t="shared" si="2"/>
        <v>62</v>
      </c>
      <c r="J16" s="32">
        <f t="shared" si="2"/>
        <v>64</v>
      </c>
      <c r="K16" s="53">
        <f t="shared" si="2"/>
        <v>2568000</v>
      </c>
      <c r="L16" s="58"/>
      <c r="M16" s="55">
        <f>SUM(M3:M15)</f>
        <v>513600</v>
      </c>
    </row>
    <row r="17" spans="2:11" ht="14.65" thickBot="1" x14ac:dyDescent="0.5">
      <c r="B17" s="24" t="s">
        <v>3</v>
      </c>
      <c r="C17" s="122" t="s">
        <v>2</v>
      </c>
      <c r="D17" s="122"/>
      <c r="E17" s="18">
        <v>46569</v>
      </c>
      <c r="F17" s="18">
        <v>46600</v>
      </c>
      <c r="G17" s="18">
        <v>46631</v>
      </c>
      <c r="H17" s="18">
        <v>46661</v>
      </c>
      <c r="I17" s="18">
        <v>46692</v>
      </c>
      <c r="J17" s="18">
        <v>46722</v>
      </c>
      <c r="K17" s="33" t="s">
        <v>29</v>
      </c>
    </row>
    <row r="18" spans="2:11" ht="14.65" thickBot="1" x14ac:dyDescent="0.5">
      <c r="B18" s="59" t="s">
        <v>27</v>
      </c>
      <c r="C18" s="150" t="s">
        <v>4</v>
      </c>
      <c r="D18" s="150"/>
      <c r="E18" s="41">
        <v>600</v>
      </c>
      <c r="F18" s="41">
        <v>600</v>
      </c>
      <c r="G18" s="41">
        <v>600</v>
      </c>
      <c r="H18" s="41">
        <v>600</v>
      </c>
      <c r="I18" s="41">
        <v>600</v>
      </c>
      <c r="J18" s="41">
        <v>600</v>
      </c>
      <c r="K18" s="42">
        <f>SUM(E18:J18)</f>
        <v>3600</v>
      </c>
    </row>
    <row r="19" spans="2:11" x14ac:dyDescent="0.45">
      <c r="B19" s="60" t="s">
        <v>28</v>
      </c>
      <c r="C19" s="151" t="s">
        <v>5</v>
      </c>
      <c r="D19" s="151"/>
      <c r="E19" s="41">
        <v>600</v>
      </c>
      <c r="F19" s="41">
        <v>600</v>
      </c>
      <c r="G19" s="41">
        <v>600</v>
      </c>
      <c r="H19" s="41">
        <v>600</v>
      </c>
      <c r="I19" s="41">
        <v>600</v>
      </c>
      <c r="J19" s="41">
        <v>600</v>
      </c>
      <c r="K19" s="45">
        <f>SUM(E19:J19)</f>
        <v>3600</v>
      </c>
    </row>
    <row r="20" spans="2:11" x14ac:dyDescent="0.45">
      <c r="B20" s="60" t="s">
        <v>43</v>
      </c>
      <c r="C20" s="151" t="s">
        <v>4</v>
      </c>
      <c r="D20" s="151"/>
      <c r="E20" s="44">
        <v>5000</v>
      </c>
      <c r="F20" s="44">
        <v>5000</v>
      </c>
      <c r="G20" s="44">
        <v>5000</v>
      </c>
      <c r="H20" s="44">
        <v>5000</v>
      </c>
      <c r="I20" s="44">
        <v>5000</v>
      </c>
      <c r="J20" s="44">
        <v>5000</v>
      </c>
      <c r="K20" s="45">
        <f>SUM(E20:J20)</f>
        <v>30000</v>
      </c>
    </row>
    <row r="21" spans="2:11" ht="14.65" thickBot="1" x14ac:dyDescent="0.5">
      <c r="B21" s="61" t="s">
        <v>44</v>
      </c>
      <c r="C21" s="152" t="s">
        <v>5</v>
      </c>
      <c r="D21" s="152"/>
      <c r="E21" s="49">
        <v>5000</v>
      </c>
      <c r="F21" s="49">
        <v>5000</v>
      </c>
      <c r="G21" s="49">
        <v>5000</v>
      </c>
      <c r="H21" s="49">
        <v>5000</v>
      </c>
      <c r="I21" s="49">
        <v>5000</v>
      </c>
      <c r="J21" s="49">
        <v>5000</v>
      </c>
      <c r="K21" s="50">
        <f>SUM(E21:J21)</f>
        <v>30000</v>
      </c>
    </row>
    <row r="22" spans="2:11" ht="14.65" thickBot="1" x14ac:dyDescent="0.5">
      <c r="B22" s="145"/>
      <c r="C22" s="146"/>
      <c r="D22" s="146"/>
      <c r="E22" s="52">
        <f>SUM(E18:E21)</f>
        <v>11200</v>
      </c>
      <c r="F22" s="52">
        <f t="shared" ref="F22:J22" si="3">SUM(F18:F21)</f>
        <v>11200</v>
      </c>
      <c r="G22" s="52">
        <f t="shared" si="3"/>
        <v>11200</v>
      </c>
      <c r="H22" s="52">
        <f t="shared" si="3"/>
        <v>11200</v>
      </c>
      <c r="I22" s="52">
        <f t="shared" si="3"/>
        <v>11200</v>
      </c>
      <c r="J22" s="52">
        <f t="shared" si="3"/>
        <v>11200</v>
      </c>
      <c r="K22" s="53">
        <f>SUM(K18:K21)</f>
        <v>67200</v>
      </c>
    </row>
    <row r="23" spans="2:11" ht="14.65" thickBot="1" x14ac:dyDescent="0.5">
      <c r="B23" s="147" t="s">
        <v>45</v>
      </c>
      <c r="C23" s="148"/>
      <c r="D23" s="148"/>
      <c r="E23" s="148"/>
      <c r="F23" s="148"/>
      <c r="G23" s="148"/>
      <c r="H23" s="148"/>
      <c r="I23" s="148"/>
      <c r="J23" s="149"/>
      <c r="K23" s="54">
        <f>M16+K22</f>
        <v>580800</v>
      </c>
    </row>
  </sheetData>
  <mergeCells count="9">
    <mergeCell ref="B22:D22"/>
    <mergeCell ref="B23:J23"/>
    <mergeCell ref="B1:M1"/>
    <mergeCell ref="B16:D16"/>
    <mergeCell ref="C17:D17"/>
    <mergeCell ref="C18:D18"/>
    <mergeCell ref="C19:D19"/>
    <mergeCell ref="C20:D20"/>
    <mergeCell ref="C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MVP</vt:lpstr>
      <vt:lpstr>Beta</vt:lpstr>
      <vt:lpstr>R_1.0</vt:lpstr>
      <vt:lpstr>Growth_Phase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2026-05-24T08:58:48Z</dcterms:created>
  <dcterms:modified xsi:type="dcterms:W3CDTF">2026-06-09T12:30:39Z</dcterms:modified>
</cp:coreProperties>
</file>