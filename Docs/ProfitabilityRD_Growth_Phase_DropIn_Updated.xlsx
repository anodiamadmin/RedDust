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Dust\Docs\"/>
    </mc:Choice>
  </mc:AlternateContent>
  <bookViews>
    <workbookView xWindow="0" yWindow="0" windowWidth="19200" windowHeight="7313"/>
  </bookViews>
  <sheets>
    <sheet name="MVP" sheetId="1" r:id="rId1"/>
    <sheet name="Beta" sheetId="2" r:id="rId2"/>
    <sheet name="R_1.0" sheetId="3" r:id="rId3"/>
    <sheet name="Growth_Phase" sheetId="4" r:id="rId4"/>
  </sheets>
  <calcPr calcId="152511" iterateDelta="1E-4"/>
</workbook>
</file>

<file path=xl/calcChain.xml><?xml version="1.0" encoding="utf-8"?>
<calcChain xmlns="http://schemas.openxmlformats.org/spreadsheetml/2006/main">
  <c r="M25" i="4" l="1"/>
  <c r="K61" i="4"/>
  <c r="M61" i="4" s="1"/>
  <c r="M60" i="4"/>
  <c r="K60" i="4"/>
  <c r="K59" i="4"/>
  <c r="M59" i="4" s="1"/>
  <c r="M58" i="4"/>
  <c r="K58" i="4"/>
  <c r="K57" i="4"/>
  <c r="M57" i="4" s="1"/>
  <c r="M56" i="4"/>
  <c r="K56" i="4"/>
  <c r="K62" i="4" s="1"/>
  <c r="K55" i="4"/>
  <c r="M55" i="4" s="1"/>
  <c r="K53" i="4"/>
  <c r="M53" i="4" s="1"/>
  <c r="M52" i="4"/>
  <c r="K52" i="4"/>
  <c r="K51" i="4"/>
  <c r="M51" i="4" s="1"/>
  <c r="M50" i="4"/>
  <c r="K50" i="4"/>
  <c r="K54" i="4" s="1"/>
  <c r="K49" i="4"/>
  <c r="M49" i="4" s="1"/>
  <c r="M54" i="4" s="1"/>
  <c r="K47" i="4"/>
  <c r="M47" i="4" s="1"/>
  <c r="M46" i="4"/>
  <c r="K46" i="4"/>
  <c r="K45" i="4"/>
  <c r="M45" i="4" s="1"/>
  <c r="M44" i="4"/>
  <c r="K44" i="4"/>
  <c r="K43" i="4"/>
  <c r="M43" i="4" s="1"/>
  <c r="M42" i="4"/>
  <c r="M48" i="4" s="1"/>
  <c r="K42" i="4"/>
  <c r="K48" i="4" s="1"/>
  <c r="M40" i="4"/>
  <c r="K40" i="4"/>
  <c r="K39" i="4"/>
  <c r="M39" i="4" s="1"/>
  <c r="M38" i="4"/>
  <c r="K38" i="4"/>
  <c r="K37" i="4"/>
  <c r="M37" i="4" s="1"/>
  <c r="M36" i="4"/>
  <c r="K36" i="4"/>
  <c r="K35" i="4"/>
  <c r="M35" i="4" s="1"/>
  <c r="J30" i="4"/>
  <c r="I30" i="4"/>
  <c r="H30" i="4"/>
  <c r="G30" i="4"/>
  <c r="F30" i="4"/>
  <c r="E30" i="4"/>
  <c r="K29" i="4"/>
  <c r="M29" i="4" s="1"/>
  <c r="M28" i="4"/>
  <c r="K28" i="4"/>
  <c r="K27" i="4"/>
  <c r="M27" i="4" s="1"/>
  <c r="M26" i="4"/>
  <c r="K26" i="4"/>
  <c r="K25" i="4"/>
  <c r="M24" i="4"/>
  <c r="M30" i="4" s="1"/>
  <c r="K24" i="4"/>
  <c r="K30" i="4" s="1"/>
  <c r="M19" i="4"/>
  <c r="K19" i="4"/>
  <c r="K18" i="4"/>
  <c r="M18" i="4" s="1"/>
  <c r="J20" i="4"/>
  <c r="J23" i="4" s="1"/>
  <c r="I20" i="4"/>
  <c r="I23" i="4" s="1"/>
  <c r="H20" i="4"/>
  <c r="H23" i="4" s="1"/>
  <c r="G20" i="4"/>
  <c r="G23" i="4" s="1"/>
  <c r="F20" i="4"/>
  <c r="F23" i="4" s="1"/>
  <c r="E20" i="4"/>
  <c r="M16" i="4"/>
  <c r="K16" i="4"/>
  <c r="K15" i="4"/>
  <c r="M15" i="4" s="1"/>
  <c r="M14" i="4"/>
  <c r="K14" i="4"/>
  <c r="K13" i="4"/>
  <c r="M13" i="4" s="1"/>
  <c r="M12" i="4"/>
  <c r="K12" i="4"/>
  <c r="K11" i="4"/>
  <c r="M11" i="4" s="1"/>
  <c r="M10" i="4"/>
  <c r="K10" i="4"/>
  <c r="K9" i="4"/>
  <c r="M9" i="4" s="1"/>
  <c r="M8" i="4"/>
  <c r="K8" i="4"/>
  <c r="K7" i="4"/>
  <c r="M6" i="4"/>
  <c r="K6" i="4"/>
  <c r="M5" i="4"/>
  <c r="K51" i="3"/>
  <c r="M51" i="3" s="1"/>
  <c r="M50" i="3"/>
  <c r="K50" i="3"/>
  <c r="K49" i="3"/>
  <c r="M49" i="3" s="1"/>
  <c r="M48" i="3"/>
  <c r="K48" i="3"/>
  <c r="K47" i="3"/>
  <c r="M47" i="3" s="1"/>
  <c r="M46" i="3"/>
  <c r="K46" i="3"/>
  <c r="K45" i="3"/>
  <c r="M45" i="3" s="1"/>
  <c r="M44" i="3"/>
  <c r="K44" i="3"/>
  <c r="K52" i="3" s="1"/>
  <c r="M42" i="3"/>
  <c r="K42" i="3"/>
  <c r="K41" i="3"/>
  <c r="M41" i="3" s="1"/>
  <c r="M40" i="3"/>
  <c r="K40" i="3"/>
  <c r="K39" i="3"/>
  <c r="M39" i="3" s="1"/>
  <c r="K37" i="3"/>
  <c r="M37" i="3" s="1"/>
  <c r="M36" i="3"/>
  <c r="K36" i="3"/>
  <c r="K35" i="3"/>
  <c r="M35" i="3" s="1"/>
  <c r="M34" i="3"/>
  <c r="K34" i="3"/>
  <c r="K33" i="3"/>
  <c r="M33" i="3" s="1"/>
  <c r="M32" i="3"/>
  <c r="K32" i="3"/>
  <c r="K38" i="3" s="1"/>
  <c r="M30" i="3"/>
  <c r="K30" i="3"/>
  <c r="K29" i="3"/>
  <c r="M29" i="3" s="1"/>
  <c r="M28" i="3"/>
  <c r="K28" i="3"/>
  <c r="K27" i="3"/>
  <c r="M27" i="3" s="1"/>
  <c r="M26" i="3"/>
  <c r="M31" i="3" s="1"/>
  <c r="K26" i="3"/>
  <c r="J21" i="3"/>
  <c r="I21" i="3"/>
  <c r="H21" i="3"/>
  <c r="G21" i="3"/>
  <c r="F21" i="3"/>
  <c r="E21" i="3"/>
  <c r="K20" i="3"/>
  <c r="K19" i="3"/>
  <c r="K18" i="3"/>
  <c r="K21" i="3" s="1"/>
  <c r="K17" i="3"/>
  <c r="J15" i="3"/>
  <c r="I15" i="3"/>
  <c r="H15" i="3"/>
  <c r="G15" i="3"/>
  <c r="F15" i="3"/>
  <c r="E15" i="3"/>
  <c r="K14" i="3"/>
  <c r="M14" i="3" s="1"/>
  <c r="M13" i="3"/>
  <c r="K13" i="3"/>
  <c r="K12" i="3"/>
  <c r="M12" i="3" s="1"/>
  <c r="M11" i="3"/>
  <c r="K11" i="3"/>
  <c r="K10" i="3"/>
  <c r="M10" i="3" s="1"/>
  <c r="M9" i="3"/>
  <c r="K9" i="3"/>
  <c r="K8" i="3"/>
  <c r="M8" i="3" s="1"/>
  <c r="M7" i="3"/>
  <c r="K7" i="3"/>
  <c r="K6" i="3"/>
  <c r="M6" i="3" s="1"/>
  <c r="M5" i="3"/>
  <c r="K5" i="3"/>
  <c r="K4" i="3"/>
  <c r="M4" i="3" s="1"/>
  <c r="M3" i="3"/>
  <c r="K3" i="3"/>
  <c r="G21" i="2"/>
  <c r="F21" i="2"/>
  <c r="E21" i="2"/>
  <c r="H20" i="2"/>
  <c r="H21" i="2" s="1"/>
  <c r="H19" i="2"/>
  <c r="H18" i="2"/>
  <c r="H17" i="2"/>
  <c r="G15" i="2"/>
  <c r="F15" i="2"/>
  <c r="E15" i="2"/>
  <c r="J14" i="2"/>
  <c r="H14" i="2"/>
  <c r="H13" i="2"/>
  <c r="J13" i="2" s="1"/>
  <c r="J12" i="2"/>
  <c r="H12" i="2"/>
  <c r="H11" i="2"/>
  <c r="J11" i="2" s="1"/>
  <c r="J10" i="2"/>
  <c r="H10" i="2"/>
  <c r="H9" i="2"/>
  <c r="J9" i="2" s="1"/>
  <c r="J8" i="2"/>
  <c r="H8" i="2"/>
  <c r="H7" i="2"/>
  <c r="J7" i="2" s="1"/>
  <c r="J6" i="2"/>
  <c r="H6" i="2"/>
  <c r="H5" i="2"/>
  <c r="J5" i="2" s="1"/>
  <c r="J4" i="2"/>
  <c r="H4" i="2"/>
  <c r="H3" i="2"/>
  <c r="H15" i="2" s="1"/>
  <c r="H16" i="1"/>
  <c r="G16" i="1"/>
  <c r="F16" i="1"/>
  <c r="E16" i="1"/>
  <c r="I15" i="1"/>
  <c r="I16" i="1" s="1"/>
  <c r="I14" i="1"/>
  <c r="J12" i="1"/>
  <c r="I17" i="1" s="1"/>
  <c r="I19" i="1" s="1"/>
  <c r="H12" i="1"/>
  <c r="G12" i="1"/>
  <c r="F12" i="1"/>
  <c r="E12" i="1"/>
  <c r="I11" i="1"/>
  <c r="I10" i="1"/>
  <c r="I9" i="1"/>
  <c r="I8" i="1"/>
  <c r="I7" i="1"/>
  <c r="I6" i="1"/>
  <c r="I5" i="1"/>
  <c r="I4" i="1"/>
  <c r="I3" i="1"/>
  <c r="I12" i="1" s="1"/>
  <c r="M52" i="3" l="1"/>
  <c r="M15" i="3"/>
  <c r="K22" i="3" s="1"/>
  <c r="M53" i="3"/>
  <c r="M38" i="3"/>
  <c r="M43" i="3"/>
  <c r="M41" i="4"/>
  <c r="M63" i="4" s="1"/>
  <c r="M62" i="4"/>
  <c r="J3" i="2"/>
  <c r="J15" i="2" s="1"/>
  <c r="H22" i="2" s="1"/>
  <c r="H24" i="2" s="1"/>
  <c r="M7" i="4"/>
  <c r="K41" i="4"/>
  <c r="K63" i="4" s="1"/>
  <c r="K15" i="3"/>
  <c r="K31" i="3"/>
  <c r="K53" i="3" s="1"/>
  <c r="K43" i="3"/>
  <c r="K17" i="4"/>
  <c r="M17" i="4" s="1"/>
  <c r="M21" i="4" l="1"/>
  <c r="M31" i="4" s="1"/>
  <c r="M64" i="4" s="1"/>
  <c r="M20" i="4"/>
  <c r="K20" i="4"/>
  <c r="K54" i="3"/>
  <c r="M54" i="3"/>
  <c r="K21" i="4"/>
  <c r="K31" i="4" s="1"/>
  <c r="K64" i="4" s="1"/>
</calcChain>
</file>

<file path=xl/sharedStrings.xml><?xml version="1.0" encoding="utf-8"?>
<sst xmlns="http://schemas.openxmlformats.org/spreadsheetml/2006/main" count="308" uniqueCount="184">
  <si>
    <t>MVP Release Oct-26: 50 Beta Users</t>
  </si>
  <si>
    <t>Resource</t>
  </si>
  <si>
    <t>Au$/ Hour</t>
  </si>
  <si>
    <t>Competency</t>
  </si>
  <si>
    <t>Total</t>
  </si>
  <si>
    <t>Discounted Cost</t>
  </si>
  <si>
    <t>Senior Architect</t>
  </si>
  <si>
    <t>Agentic AI, Full Stack, Cloud-dev-sec-ops, QA, PM</t>
  </si>
  <si>
    <t>Mid Level Tech Lead</t>
  </si>
  <si>
    <t>Intern Scrum Master</t>
  </si>
  <si>
    <t>Agile Scrum</t>
  </si>
  <si>
    <t>Intern Business Analyst</t>
  </si>
  <si>
    <t>Agile BA</t>
  </si>
  <si>
    <t>Intern Full Stack Developer</t>
  </si>
  <si>
    <t>Fast API, React Native, DBMS</t>
  </si>
  <si>
    <t>Intern AI Developer</t>
  </si>
  <si>
    <t>Agentic AI</t>
  </si>
  <si>
    <t>Intern Cloud-DevOps Developer</t>
  </si>
  <si>
    <t>Cloud, DevOps</t>
  </si>
  <si>
    <t>Intern Cyber Security Developer</t>
  </si>
  <si>
    <t>Cyber Security</t>
  </si>
  <si>
    <t>Intern QA Automation</t>
  </si>
  <si>
    <t>Automation Testing</t>
  </si>
  <si>
    <t>Expense Head</t>
  </si>
  <si>
    <t>Topic</t>
  </si>
  <si>
    <t>Dev AI Tokens</t>
  </si>
  <si>
    <t>LLM + Speech + Vision + Embeddings + Agent etc.</t>
  </si>
  <si>
    <t>Dev Cloud Infrastructure</t>
  </si>
  <si>
    <t>Compute + DB + Security + Deployment etc.</t>
  </si>
  <si>
    <t>Final Dev Cost</t>
  </si>
  <si>
    <t>Cost/ Month</t>
  </si>
  <si>
    <t>Beta Release Jan-27: 500 Beta Users</t>
  </si>
  <si>
    <t>Discount %</t>
  </si>
  <si>
    <t>Junior Scrum Master</t>
  </si>
  <si>
    <t>Agile Scrum, BA</t>
  </si>
  <si>
    <t>Junior Full Stack Developer</t>
  </si>
  <si>
    <t>Junior AI Developer</t>
  </si>
  <si>
    <t>Junior Cloud-DevSecOps Developer</t>
  </si>
  <si>
    <t>Cloud, DevOps, Cyber Security</t>
  </si>
  <si>
    <t>Intern Cloud-DevSecOps Developer</t>
  </si>
  <si>
    <t>Junior QA Automation</t>
  </si>
  <si>
    <t>Prod AI Tokens (50 users)</t>
  </si>
  <si>
    <t>Prod Cloud Infrastructure (50 users)</t>
  </si>
  <si>
    <t>R_1.0 Release Jun-27: 5,000 Production Users</t>
  </si>
  <si>
    <t>Prod AI Tokens (500 users)</t>
  </si>
  <si>
    <t>Prod Cloud Infrastructure (500 users)</t>
  </si>
  <si>
    <t>R_1.0 Additional Cost Heads (Jan-27 to Jun-27)</t>
  </si>
  <si>
    <t>Expense/ Resource</t>
  </si>
  <si>
    <t>Topic/ Assumption</t>
  </si>
  <si>
    <t>Digital Marketing Lead</t>
  </si>
  <si>
    <t>Paid acquisition, campaign management, analytics</t>
  </si>
  <si>
    <t>Social Media Manager</t>
  </si>
  <si>
    <t>Daily posts, community engagement, short content</t>
  </si>
  <si>
    <t>Content Creator / Copywriter</t>
  </si>
  <si>
    <t>Blogs, app-store copy, campaign messaging</t>
  </si>
  <si>
    <t>SEO / ASO Specialist</t>
  </si>
  <si>
    <t>App-store optimisation and search content</t>
  </si>
  <si>
    <t>Graphic Designer</t>
  </si>
  <si>
    <t>Ads, social creatives, landing page assets</t>
  </si>
  <si>
    <t>Marketing Team Cost</t>
  </si>
  <si>
    <t>Meta Ads</t>
  </si>
  <si>
    <t>Instagram/Facebook acquisition</t>
  </si>
  <si>
    <t>Google UAC/ App Campaigns</t>
  </si>
  <si>
    <t>Android app install acquisition</t>
  </si>
  <si>
    <t>TikTok Ads</t>
  </si>
  <si>
    <t>18–30 demographic, short-form awareness</t>
  </si>
  <si>
    <t>YouTube Pre-roll</t>
  </si>
  <si>
    <t>Music/wellness contextual video ads</t>
  </si>
  <si>
    <t>Reddit/ LinkedIn Ads</t>
  </si>
  <si>
    <t>UNSW, startup, professionals &amp; wellbeing communities</t>
  </si>
  <si>
    <t>Micro-influencers</t>
  </si>
  <si>
    <t>Small wellness/music creators and paid collaborations</t>
  </si>
  <si>
    <t>Ad Platform Spend</t>
  </si>
  <si>
    <t>Canva Pro</t>
  </si>
  <si>
    <t>Design tool subscription</t>
  </si>
  <si>
    <t>Buffer/ Hootsuite</t>
  </si>
  <si>
    <t>Social media scheduling</t>
  </si>
  <si>
    <t>Mailchimp/ Brevo</t>
  </si>
  <si>
    <t>Email marketing and beta-user updates</t>
  </si>
  <si>
    <t>Semrush/ Ahrefs Lite</t>
  </si>
  <si>
    <t>Light SEO/ASO keyword research</t>
  </si>
  <si>
    <t>Tools &amp; Subscriptions</t>
  </si>
  <si>
    <t>Admin/ Operations Coordinator</t>
  </si>
  <si>
    <t>Admin support, vendor coordination, reporting</t>
  </si>
  <si>
    <t>HR/ People Coordinator</t>
  </si>
  <si>
    <t>Intern onboarding, HR coordination, basic policies</t>
  </si>
  <si>
    <t>Legal setup &amp; compliance</t>
  </si>
  <si>
    <t>Privacy, T&amp;C, disclaimers, AU Privacy Act/ GDPR readiness</t>
  </si>
  <si>
    <t>Ongoing legal retainer</t>
  </si>
  <si>
    <t>Light legal review and risk/compliance support</t>
  </si>
  <si>
    <t>Music licensing/ content source</t>
  </si>
  <si>
    <t>Epidemic/Artlist licence + APRA-style royalty allowance</t>
  </si>
  <si>
    <t>Psychologist/ Wellbeing SME</t>
  </si>
  <si>
    <t>Content and AI wellbeing-flow review</t>
  </si>
  <si>
    <t>App Store/ Play Store fees</t>
  </si>
  <si>
    <t>Developer accounts and launch-related platform fees</t>
  </si>
  <si>
    <t>Accounting &amp; Finance</t>
  </si>
  <si>
    <t>Xero/bookkeeping/tax/BAS allowance</t>
  </si>
  <si>
    <t>Admin, HR, Legal, Music &amp; Other</t>
  </si>
  <si>
    <t>Total Additional R_1.0 Costs</t>
  </si>
  <si>
    <t>Revised R_1.0 Total Cost</t>
  </si>
  <si>
    <t>Existing Final Dev Cost + Total Additional R_1.0 Costs</t>
  </si>
  <si>
    <t>Model notes: people-cost rows use Au$/ hour × FTE × 160 hours/ month × 6 months, then apply discount %. Fixed-spend rows use monthly cash estimates. Music licensing is a midpoint placeholder and should be validated before launch.</t>
  </si>
  <si>
    <t>Growth Phase Jul-27 to Dec-27: Rapid Growth to 100,000 Production Users</t>
  </si>
  <si>
    <t>Assumption</t>
  </si>
  <si>
    <t>Start: 5,000 production users after R_1.0; Target: 100,000 production users by Dec-2027 / Early Jan-2028</t>
  </si>
  <si>
    <t>Development Expenditure - Updated for 100,000 User Growth Readiness</t>
  </si>
  <si>
    <t>Competency / Topic</t>
  </si>
  <si>
    <t>Architecture, scale, security, AI governance</t>
  </si>
  <si>
    <t>Tech Lead</t>
  </si>
  <si>
    <t>Product, backend, mobile, AI delivery leadership</t>
  </si>
  <si>
    <t>Scrum Master</t>
  </si>
  <si>
    <t>Agile execution and release coordination</t>
  </si>
  <si>
    <t>Business Analyst</t>
  </si>
  <si>
    <t>User stories, analytics, workflow design</t>
  </si>
  <si>
    <t>Full Stack Developer</t>
  </si>
  <si>
    <t>FastAPI, React Native, DBMS, APIs</t>
  </si>
  <si>
    <t>Mobile/web feature delivery and fixes</t>
  </si>
  <si>
    <t>AI Developer</t>
  </si>
  <si>
    <t>Agentic AI, RAG, conversation flows, recommendation</t>
  </si>
  <si>
    <t>Prompt ops, evaluation, content pipelines</t>
  </si>
  <si>
    <t>Cloud-DevSecOps Developer</t>
  </si>
  <si>
    <t>Cloud, DevOps, Cybersecurity, observability</t>
  </si>
  <si>
    <t>Deployment, monitoring, automation support</t>
  </si>
  <si>
    <t>QA Automation</t>
  </si>
  <si>
    <t>Automation testing, performance, release gates</t>
  </si>
  <si>
    <t>Regression, manual testing, test data</t>
  </si>
  <si>
    <t>Lead Production Support</t>
  </si>
  <si>
    <t>Incident management and support lead</t>
  </si>
  <si>
    <t>Production Support</t>
  </si>
  <si>
    <t>L1/L2 user support and escalation handling</t>
  </si>
  <si>
    <t>Total FTE / Monthly Headcount</t>
  </si>
  <si>
    <t>Development Team Cost</t>
  </si>
  <si>
    <t>LLM + Speech + Vision + Embeddings + Agents</t>
  </si>
  <si>
    <t>Compute + DB + Security + Deployment</t>
  </si>
  <si>
    <t>Prod AI Tokens (scaling users)</t>
  </si>
  <si>
    <t>Production AI usage scaling from 5k to 100k users</t>
  </si>
  <si>
    <t>Prod Cloud Infrastructure (scaling users)</t>
  </si>
  <si>
    <t>Compute, DB, CDN, monitoring, storage</t>
  </si>
  <si>
    <t>Security, Observability &amp; Incident Tooling</t>
  </si>
  <si>
    <t>Logging, monitoring, alerts, uptime tooling</t>
  </si>
  <si>
    <t>Customer Support Platform</t>
  </si>
  <si>
    <t>Helpdesk, knowledge base, ticketing, chat tools</t>
  </si>
  <si>
    <t>Infrastructure &amp; Ops Expense</t>
  </si>
  <si>
    <t>Growth_Phase Additional Cost Heads (Jul-27 to Dec-27)</t>
  </si>
  <si>
    <t>Expense / Resource</t>
  </si>
  <si>
    <t>Topic / Assumption</t>
  </si>
  <si>
    <t>Growth Marketing Lead</t>
  </si>
  <si>
    <t>Paid acquisition, growth strategy, analytics</t>
  </si>
  <si>
    <t>Daily posts, community engagement, short-form content</t>
  </si>
  <si>
    <t>Videos, blogs, app-store copy, campaign messaging</t>
  </si>
  <si>
    <t>Community Manager</t>
  </si>
  <si>
    <t>Discord/Reddit/community growth and engagement</t>
  </si>
  <si>
    <t>Google UAC / App Campaigns</t>
  </si>
  <si>
    <t>18-30 demographic, short-form awareness</t>
  </si>
  <si>
    <t>Music/wellbeing contextual video ads</t>
  </si>
  <si>
    <t>Reddit / LinkedIn Ads</t>
  </si>
  <si>
    <t>Wellness/music creators and paid collaborations</t>
  </si>
  <si>
    <t>Buffer / Hootsuite</t>
  </si>
  <si>
    <t>Mailchimp / Brevo</t>
  </si>
  <si>
    <t>Email marketing and lifecycle campaigns</t>
  </si>
  <si>
    <t>Semrush / Ahrefs Lite</t>
  </si>
  <si>
    <t>SEO/ASO keyword research</t>
  </si>
  <si>
    <t>Analytics / Attribution</t>
  </si>
  <si>
    <t>App analytics, attribution and cohort tracking</t>
  </si>
  <si>
    <t>Admin / Operations Coordinator</t>
  </si>
  <si>
    <t>HR / People Coordinator</t>
  </si>
  <si>
    <t>Hiring, onboarding, policies, team coordination</t>
  </si>
  <si>
    <t>Privacy, T&amp;C, AI/wellbeing disclaimers, AU/GDPR readiness</t>
  </si>
  <si>
    <t>Music licensing / content rights</t>
  </si>
  <si>
    <t>Licensed music library + APRA-style royalty allowance</t>
  </si>
  <si>
    <t>Psychologist / Wellbeing SME</t>
  </si>
  <si>
    <t>Clinical safety review, wellbeing-flow review</t>
  </si>
  <si>
    <t>Xero, bookkeeping, tax/BAS allowance</t>
  </si>
  <si>
    <t>Total Additional Growth_Phase Costs</t>
  </si>
  <si>
    <t>Revised Growth_Phase Total Cost</t>
  </si>
  <si>
    <t>Existing Final Dev Cost + Total Additional Growth_Phase Costs</t>
  </si>
  <si>
    <t>Footnotes</t>
  </si>
  <si>
    <t>1. Growth target assumes scaling from 5,000 production users in Jul-2027 to 100,000 production users by Dec-2027 / Early Jan-2028.</t>
  </si>
  <si>
    <t>2. Production AI token and cloud costs are increased month-wise to reflect rapid user growth and higher active usage.</t>
  </si>
  <si>
    <t>3. Production support headcount is increased from 6 to 16 across the period to support tickets, onboarding, incidents and escalations.</t>
  </si>
  <si>
    <t>4. Paid acquisition is ramped gradually; the largest spend is concentrated closer to Dec-2027 after product stability improves.</t>
  </si>
  <si>
    <t>5. Music licensing is a planning allowance for licensed music libraries and APRA-style royalty exposure; exact cost depends on final content strategy.</t>
  </si>
  <si>
    <t>6. Discounted personnel costs assume offshore / discounted startup arrangements consistent with earlier tabs.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</si>
</sst>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$#,##0"/>
    <numFmt numFmtId="165" formatCode="#,##0.0;[Red]\(#,##0.0\);\-"/>
    <numFmt numFmtId="166" formatCode="\$#,##0;[Red]\(\$#,##0\);\-"/>
    <numFmt numFmtId="167" formatCode="0.0"/>
  </numFmts>
  <fonts count="17" x14ac:knownFonts="1">
    <font>
      <sz val="11"/>
      <color theme="1"/>
      <name val="Calibri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i/>
      <sz val="11"/>
      <color theme="1"/>
      <name val="Calibri"/>
      <family val="2"/>
    </font>
    <font>
      <b/>
      <sz val="14"/>
      <color rgb="FFFFFFFF"/>
      <name val="Calibri"/>
      <family val="2"/>
    </font>
    <font>
      <i/>
      <sz val="11"/>
      <color rgb="FF404040"/>
      <name val="Calibri"/>
      <family val="2"/>
    </font>
    <font>
      <b/>
      <i/>
      <sz val="11"/>
      <color rgb="FF40404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4" tint="-0.49995422223578601"/>
        <bgColor indexed="65"/>
      </patternFill>
    </fill>
    <fill>
      <patternFill patternType="solid">
        <fgColor theme="4" tint="-0.4999237037263100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3" fontId="0" fillId="0" borderId="5" xfId="0" applyNumberFormat="1" applyBorder="1" applyAlignment="1">
      <alignment horizontal="right" vertical="top" wrapText="1"/>
    </xf>
    <xf numFmtId="3" fontId="0" fillId="0" borderId="7" xfId="0" applyNumberFormat="1" applyBorder="1" applyAlignment="1">
      <alignment horizontal="right" vertical="top" wrapText="1"/>
    </xf>
    <xf numFmtId="3" fontId="0" fillId="0" borderId="10" xfId="0" applyNumberFormat="1" applyBorder="1" applyAlignment="1">
      <alignment horizontal="right" vertical="top" wrapText="1"/>
    </xf>
    <xf numFmtId="0" fontId="0" fillId="0" borderId="19" xfId="0" applyBorder="1" applyAlignment="1">
      <alignment horizontal="right" vertical="top" wrapText="1"/>
    </xf>
    <xf numFmtId="0" fontId="0" fillId="0" borderId="22" xfId="0" applyBorder="1" applyAlignment="1">
      <alignment horizontal="right" vertical="top" wrapText="1"/>
    </xf>
    <xf numFmtId="0" fontId="0" fillId="0" borderId="24" xfId="0" applyBorder="1" applyAlignment="1">
      <alignment horizontal="right" vertical="top" wrapText="1"/>
    </xf>
    <xf numFmtId="0" fontId="2" fillId="2" borderId="28" xfId="0" applyFont="1" applyFill="1" applyBorder="1" applyAlignment="1">
      <alignment horizontal="center" vertical="top" wrapText="1"/>
    </xf>
    <xf numFmtId="17" fontId="2" fillId="2" borderId="28" xfId="0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right" vertical="top" wrapText="1"/>
    </xf>
    <xf numFmtId="0" fontId="0" fillId="0" borderId="26" xfId="0" applyBorder="1" applyAlignment="1">
      <alignment horizontal="left" vertical="top" wrapText="1"/>
    </xf>
    <xf numFmtId="0" fontId="2" fillId="2" borderId="36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0" fillId="0" borderId="34" xfId="0" applyBorder="1" applyAlignment="1">
      <alignment horizontal="right" vertical="top" wrapText="1"/>
    </xf>
    <xf numFmtId="0" fontId="2" fillId="0" borderId="35" xfId="0" applyFont="1" applyBorder="1" applyAlignment="1">
      <alignment horizontal="righ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right" vertical="top" wrapText="1"/>
    </xf>
    <xf numFmtId="17" fontId="2" fillId="2" borderId="37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right" vertical="top" wrapText="1"/>
    </xf>
    <xf numFmtId="0" fontId="0" fillId="0" borderId="33" xfId="0" applyBorder="1" applyAlignment="1">
      <alignment horizontal="right" vertical="top" wrapText="1"/>
    </xf>
    <xf numFmtId="0" fontId="2" fillId="2" borderId="17" xfId="0" applyFont="1" applyFill="1" applyBorder="1" applyAlignment="1">
      <alignment horizontal="center" vertical="top" wrapText="1"/>
    </xf>
    <xf numFmtId="0" fontId="0" fillId="0" borderId="20" xfId="0" applyBorder="1" applyAlignment="1">
      <alignment horizontal="right" vertical="top" wrapText="1"/>
    </xf>
    <xf numFmtId="0" fontId="0" fillId="0" borderId="23" xfId="0" applyBorder="1" applyAlignment="1">
      <alignment horizontal="right" vertical="top" wrapText="1"/>
    </xf>
    <xf numFmtId="0" fontId="0" fillId="0" borderId="21" xfId="0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3" fillId="2" borderId="29" xfId="0" applyFont="1" applyFill="1" applyBorder="1" applyAlignment="1">
      <alignment horizontal="right" vertical="top" wrapText="1"/>
    </xf>
    <xf numFmtId="0" fontId="2" fillId="2" borderId="25" xfId="0" applyFont="1" applyFill="1" applyBorder="1" applyAlignment="1">
      <alignment horizontal="center" vertical="top" wrapText="1"/>
    </xf>
    <xf numFmtId="3" fontId="0" fillId="0" borderId="20" xfId="0" applyNumberFormat="1" applyBorder="1" applyAlignment="1">
      <alignment horizontal="right" vertical="top" wrapText="1"/>
    </xf>
    <xf numFmtId="3" fontId="0" fillId="0" borderId="39" xfId="0" applyNumberFormat="1" applyBorder="1" applyAlignment="1">
      <alignment horizontal="right" vertical="top" wrapText="1"/>
    </xf>
    <xf numFmtId="3" fontId="0" fillId="0" borderId="23" xfId="0" applyNumberFormat="1" applyBorder="1" applyAlignment="1">
      <alignment horizontal="right" vertical="top" wrapText="1"/>
    </xf>
    <xf numFmtId="3" fontId="0" fillId="0" borderId="40" xfId="0" applyNumberFormat="1" applyBorder="1" applyAlignment="1">
      <alignment horizontal="right" vertical="top" wrapText="1"/>
    </xf>
    <xf numFmtId="3" fontId="0" fillId="0" borderId="27" xfId="0" applyNumberFormat="1" applyBorder="1" applyAlignment="1">
      <alignment horizontal="right" vertical="top" wrapText="1"/>
    </xf>
    <xf numFmtId="3" fontId="0" fillId="0" borderId="42" xfId="0" applyNumberFormat="1" applyBorder="1" applyAlignment="1">
      <alignment horizontal="right" vertical="top" wrapText="1"/>
    </xf>
    <xf numFmtId="3" fontId="0" fillId="0" borderId="21" xfId="0" applyNumberFormat="1" applyBorder="1" applyAlignment="1">
      <alignment horizontal="right" vertical="top" wrapText="1"/>
    </xf>
    <xf numFmtId="3" fontId="0" fillId="0" borderId="41" xfId="0" applyNumberFormat="1" applyBorder="1" applyAlignment="1">
      <alignment horizontal="right" vertical="top" wrapText="1"/>
    </xf>
    <xf numFmtId="3" fontId="0" fillId="0" borderId="34" xfId="0" applyNumberFormat="1" applyBorder="1" applyAlignment="1">
      <alignment horizontal="right" vertical="top" wrapText="1"/>
    </xf>
    <xf numFmtId="3" fontId="2" fillId="0" borderId="18" xfId="0" applyNumberFormat="1" applyFont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top" wrapText="1"/>
    </xf>
    <xf numFmtId="3" fontId="2" fillId="0" borderId="29" xfId="0" applyNumberFormat="1" applyFont="1" applyBorder="1" applyAlignment="1">
      <alignment horizontal="right" vertical="top" wrapText="1"/>
    </xf>
    <xf numFmtId="3" fontId="0" fillId="0" borderId="18" xfId="0" applyNumberFormat="1" applyFont="1" applyBorder="1" applyAlignment="1">
      <alignment horizontal="right" vertical="top" wrapText="1"/>
    </xf>
    <xf numFmtId="0" fontId="5" fillId="5" borderId="36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17" fontId="5" fillId="5" borderId="28" xfId="0" applyNumberFormat="1" applyFont="1" applyFill="1" applyBorder="1" applyAlignment="1">
      <alignment horizontal="center" vertical="top" wrapText="1"/>
    </xf>
    <xf numFmtId="0" fontId="5" fillId="5" borderId="17" xfId="0" applyFont="1" applyFill="1" applyBorder="1" applyAlignment="1">
      <alignment horizontal="center" vertical="top" wrapText="1"/>
    </xf>
    <xf numFmtId="0" fontId="5" fillId="5" borderId="25" xfId="0" applyFont="1" applyFill="1" applyBorder="1" applyAlignment="1">
      <alignment horizontal="center" vertical="top" wrapText="1"/>
    </xf>
    <xf numFmtId="0" fontId="5" fillId="5" borderId="13" xfId="0" applyFont="1" applyFill="1" applyBorder="1" applyAlignment="1">
      <alignment horizontal="center" vertical="top" wrapText="1"/>
    </xf>
    <xf numFmtId="3" fontId="5" fillId="0" borderId="18" xfId="0" applyNumberFormat="1" applyFont="1" applyBorder="1" applyAlignment="1">
      <alignment horizontal="right" vertical="top" wrapText="1"/>
    </xf>
    <xf numFmtId="3" fontId="5" fillId="0" borderId="29" xfId="0" applyNumberFormat="1" applyFont="1" applyBorder="1" applyAlignment="1">
      <alignment horizontal="right" vertical="top" wrapText="1"/>
    </xf>
    <xf numFmtId="3" fontId="6" fillId="5" borderId="29" xfId="0" applyNumberFormat="1" applyFont="1" applyFill="1" applyBorder="1" applyAlignment="1">
      <alignment horizontal="right" vertical="top" wrapText="1"/>
    </xf>
    <xf numFmtId="0" fontId="8" fillId="7" borderId="0" xfId="0" applyNumberFormat="1" applyFont="1" applyFill="1" applyBorder="1" applyAlignment="1">
      <alignment horizontal="center" vertical="center" wrapText="1"/>
    </xf>
    <xf numFmtId="17" fontId="8" fillId="7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164" fontId="9" fillId="0" borderId="0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vertical="top" wrapText="1"/>
    </xf>
    <xf numFmtId="165" fontId="9" fillId="0" borderId="0" xfId="0" applyNumberFormat="1" applyFont="1" applyFill="1" applyBorder="1" applyAlignment="1">
      <alignment horizontal="right"/>
    </xf>
    <xf numFmtId="166" fontId="11" fillId="0" borderId="0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0" fontId="8" fillId="8" borderId="0" xfId="0" applyNumberFormat="1" applyFont="1" applyFill="1" applyBorder="1" applyAlignment="1">
      <alignment vertical="top" wrapText="1"/>
    </xf>
    <xf numFmtId="164" fontId="12" fillId="8" borderId="0" xfId="0" applyNumberFormat="1" applyFont="1" applyFill="1" applyBorder="1" applyAlignment="1">
      <alignment vertical="top" wrapText="1"/>
    </xf>
    <xf numFmtId="165" fontId="12" fillId="8" borderId="0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Border="1" applyAlignment="1">
      <alignment horizontal="right" vertical="center"/>
    </xf>
    <xf numFmtId="1" fontId="12" fillId="8" borderId="0" xfId="0" applyNumberFormat="1" applyFont="1" applyFill="1" applyBorder="1" applyAlignment="1">
      <alignment horizontal="right" vertical="center"/>
    </xf>
    <xf numFmtId="0" fontId="8" fillId="9" borderId="0" xfId="0" applyNumberFormat="1" applyFont="1" applyFill="1" applyBorder="1" applyAlignment="1">
      <alignment vertical="top" wrapText="1"/>
    </xf>
    <xf numFmtId="164" fontId="12" fillId="9" borderId="0" xfId="0" applyNumberFormat="1" applyFont="1" applyFill="1" applyBorder="1" applyAlignment="1">
      <alignment vertical="top" wrapText="1"/>
    </xf>
    <xf numFmtId="165" fontId="12" fillId="9" borderId="0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Border="1" applyAlignment="1">
      <alignment horizontal="right" vertical="center"/>
    </xf>
    <xf numFmtId="1" fontId="12" fillId="9" borderId="0" xfId="0" applyNumberFormat="1" applyFont="1" applyFill="1" applyBorder="1" applyAlignment="1">
      <alignment horizontal="right" vertical="center"/>
    </xf>
    <xf numFmtId="0" fontId="2" fillId="14" borderId="0" xfId="0" applyNumberFormat="1" applyFont="1" applyFill="1" applyBorder="1" applyAlignment="1">
      <alignment horizontal="center" vertical="center" wrapText="1"/>
    </xf>
    <xf numFmtId="0" fontId="2" fillId="14" borderId="6" xfId="0" applyNumberFormat="1" applyFont="1" applyFill="1" applyBorder="1" applyAlignment="1">
      <alignment horizontal="center" vertical="center" wrapText="1"/>
    </xf>
    <xf numFmtId="0" fontId="2" fillId="14" borderId="1" xfId="0" applyNumberFormat="1" applyFont="1" applyFill="1" applyBorder="1" applyAlignment="1">
      <alignment horizontal="center" vertical="center" wrapText="1"/>
    </xf>
    <xf numFmtId="3" fontId="2" fillId="14" borderId="23" xfId="0" applyNumberFormat="1" applyFont="1" applyFill="1" applyBorder="1" applyAlignment="1">
      <alignment horizontal="center" vertical="center" wrapText="1"/>
    </xf>
    <xf numFmtId="3" fontId="2" fillId="14" borderId="40" xfId="0" applyNumberFormat="1" applyFont="1" applyFill="1" applyBorder="1" applyAlignment="1">
      <alignment horizontal="center" vertical="center" wrapText="1"/>
    </xf>
    <xf numFmtId="3" fontId="2" fillId="14" borderId="7" xfId="0" applyNumberFormat="1" applyFont="1" applyFill="1" applyBorder="1" applyAlignment="1">
      <alignment horizontal="center" vertical="center" wrapText="1"/>
    </xf>
    <xf numFmtId="17" fontId="2" fillId="14" borderId="1" xfId="0" applyNumberFormat="1" applyFont="1" applyFill="1" applyBorder="1" applyAlignment="1">
      <alignment horizontal="center" vertical="center" wrapText="1"/>
    </xf>
    <xf numFmtId="17" fontId="2" fillId="14" borderId="34" xfId="0" applyNumberFormat="1" applyFont="1" applyFill="1" applyBorder="1" applyAlignment="1">
      <alignment horizontal="center" vertical="center" wrapText="1"/>
    </xf>
    <xf numFmtId="1" fontId="2" fillId="14" borderId="0" xfId="0" applyNumberFormat="1" applyFont="1" applyFill="1" applyBorder="1" applyAlignment="1">
      <alignment horizontal="center" vertical="center" wrapText="1"/>
    </xf>
    <xf numFmtId="166" fontId="8" fillId="14" borderId="18" xfId="0" applyNumberFormat="1" applyFont="1" applyFill="1" applyBorder="1" applyAlignment="1">
      <alignment horizontal="center" vertical="center" wrapText="1"/>
    </xf>
    <xf numFmtId="166" fontId="8" fillId="14" borderId="0" xfId="0" applyNumberFormat="1" applyFont="1" applyFill="1" applyBorder="1" applyAlignment="1">
      <alignment horizontal="center" vertical="center" wrapText="1"/>
    </xf>
    <xf numFmtId="0" fontId="14" fillId="11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horizontal="left" vertical="center" wrapText="1"/>
    </xf>
    <xf numFmtId="0" fontId="0" fillId="0" borderId="4" xfId="0" applyNumberFormat="1" applyFont="1" applyFill="1" applyBorder="1" applyAlignment="1">
      <alignment horizontal="right" vertical="center" wrapText="1"/>
    </xf>
    <xf numFmtId="0" fontId="0" fillId="0" borderId="4" xfId="0" applyNumberFormat="1" applyFont="1" applyFill="1" applyBorder="1" applyAlignment="1">
      <alignment horizontal="left" vertical="center" wrapText="1"/>
    </xf>
    <xf numFmtId="0" fontId="0" fillId="0" borderId="38" xfId="0" applyNumberFormat="1" applyFont="1" applyFill="1" applyBorder="1" applyAlignment="1">
      <alignment horizontal="right" vertical="center" wrapText="1"/>
    </xf>
    <xf numFmtId="3" fontId="0" fillId="0" borderId="20" xfId="0" applyNumberFormat="1" applyFont="1" applyFill="1" applyBorder="1" applyAlignment="1">
      <alignment horizontal="right" vertical="center" wrapText="1"/>
    </xf>
    <xf numFmtId="3" fontId="0" fillId="0" borderId="39" xfId="0" applyNumberFormat="1" applyFont="1" applyFill="1" applyBorder="1" applyAlignment="1">
      <alignment horizontal="right" vertical="center" wrapText="1"/>
    </xf>
    <xf numFmtId="3" fontId="0" fillId="0" borderId="5" xfId="0" applyNumberFormat="1" applyFont="1" applyFill="1" applyBorder="1" applyAlignment="1">
      <alignment horizontal="right" vertical="center" wrapText="1"/>
    </xf>
    <xf numFmtId="0" fontId="0" fillId="0" borderId="6" xfId="0" applyNumberFormat="1" applyFont="1" applyFill="1" applyBorder="1" applyAlignment="1">
      <alignment horizontal="left" vertical="center" wrapText="1"/>
    </xf>
    <xf numFmtId="164" fontId="9" fillId="0" borderId="1" xfId="0" applyNumberFormat="1" applyFont="1" applyFill="1" applyBorder="1" applyAlignment="1">
      <alignment horizontal="right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167" fontId="9" fillId="0" borderId="1" xfId="0" applyNumberFormat="1" applyFont="1" applyFill="1" applyBorder="1" applyAlignment="1">
      <alignment horizontal="right" vertical="center" wrapText="1"/>
    </xf>
    <xf numFmtId="166" fontId="8" fillId="0" borderId="23" xfId="0" applyNumberFormat="1" applyFont="1" applyFill="1" applyBorder="1" applyAlignment="1">
      <alignment horizontal="right" vertical="center" wrapText="1"/>
    </xf>
    <xf numFmtId="1" fontId="9" fillId="0" borderId="40" xfId="0" applyNumberFormat="1" applyFont="1" applyFill="1" applyBorder="1" applyAlignment="1">
      <alignment horizontal="right" vertical="center" wrapText="1"/>
    </xf>
    <xf numFmtId="166" fontId="8" fillId="0" borderId="7" xfId="0" applyNumberFormat="1" applyFont="1" applyFill="1" applyBorder="1" applyAlignment="1">
      <alignment horizontal="right" vertical="center" wrapText="1"/>
    </xf>
    <xf numFmtId="0" fontId="0" fillId="0" borderId="26" xfId="0" applyNumberFormat="1" applyFont="1" applyFill="1" applyBorder="1" applyAlignment="1">
      <alignment horizontal="left" vertical="center" wrapText="1"/>
    </xf>
    <xf numFmtId="164" fontId="9" fillId="0" borderId="2" xfId="0" applyNumberFormat="1" applyFont="1" applyFill="1" applyBorder="1" applyAlignment="1">
      <alignment horizontal="right" vertical="center" wrapText="1"/>
    </xf>
    <xf numFmtId="0" fontId="9" fillId="0" borderId="2" xfId="0" applyNumberFormat="1" applyFont="1" applyFill="1" applyBorder="1" applyAlignment="1">
      <alignment horizontal="left" vertical="center" wrapText="1"/>
    </xf>
    <xf numFmtId="167" fontId="9" fillId="0" borderId="2" xfId="0" applyNumberFormat="1" applyFont="1" applyFill="1" applyBorder="1" applyAlignment="1">
      <alignment horizontal="right" vertical="center" wrapText="1"/>
    </xf>
    <xf numFmtId="166" fontId="8" fillId="0" borderId="27" xfId="0" applyNumberFormat="1" applyFont="1" applyFill="1" applyBorder="1" applyAlignment="1">
      <alignment horizontal="right" vertical="center" wrapText="1"/>
    </xf>
    <xf numFmtId="166" fontId="8" fillId="0" borderId="30" xfId="0" applyNumberFormat="1" applyFont="1" applyFill="1" applyBorder="1" applyAlignment="1">
      <alignment horizontal="right" vertical="center" wrapText="1"/>
    </xf>
    <xf numFmtId="0" fontId="0" fillId="0" borderId="8" xfId="0" applyNumberFormat="1" applyFont="1" applyFill="1" applyBorder="1" applyAlignment="1">
      <alignment horizontal="left" vertical="center" wrapText="1"/>
    </xf>
    <xf numFmtId="164" fontId="9" fillId="0" borderId="9" xfId="0" applyNumberFormat="1" applyFont="1" applyFill="1" applyBorder="1" applyAlignment="1">
      <alignment horizontal="right" vertical="center" wrapText="1"/>
    </xf>
    <xf numFmtId="0" fontId="9" fillId="0" borderId="9" xfId="0" applyNumberFormat="1" applyFont="1" applyFill="1" applyBorder="1" applyAlignment="1">
      <alignment horizontal="left" vertical="center" wrapText="1"/>
    </xf>
    <xf numFmtId="167" fontId="9" fillId="0" borderId="9" xfId="0" applyNumberFormat="1" applyFont="1" applyFill="1" applyBorder="1" applyAlignment="1">
      <alignment horizontal="right" vertical="center" wrapText="1"/>
    </xf>
    <xf numFmtId="166" fontId="8" fillId="0" borderId="21" xfId="0" applyNumberFormat="1" applyFont="1" applyFill="1" applyBorder="1" applyAlignment="1">
      <alignment horizontal="right" vertical="center" wrapText="1"/>
    </xf>
    <xf numFmtId="1" fontId="9" fillId="0" borderId="41" xfId="0" applyNumberFormat="1" applyFont="1" applyFill="1" applyBorder="1" applyAlignment="1">
      <alignment horizontal="right" vertical="center" wrapText="1"/>
    </xf>
    <xf numFmtId="166" fontId="8" fillId="0" borderId="10" xfId="0" applyNumberFormat="1" applyFont="1" applyFill="1" applyBorder="1" applyAlignment="1">
      <alignment horizontal="right" vertical="center" wrapText="1"/>
    </xf>
    <xf numFmtId="167" fontId="9" fillId="0" borderId="34" xfId="0" applyNumberFormat="1" applyFont="1" applyFill="1" applyBorder="1" applyAlignment="1">
      <alignment horizontal="right" vertical="center" wrapText="1"/>
    </xf>
    <xf numFmtId="167" fontId="9" fillId="0" borderId="33" xfId="0" applyNumberFormat="1" applyFont="1" applyFill="1" applyBorder="1" applyAlignment="1">
      <alignment horizontal="right" vertical="center" wrapText="1"/>
    </xf>
    <xf numFmtId="166" fontId="8" fillId="0" borderId="18" xfId="0" applyNumberFormat="1" applyFont="1" applyFill="1" applyBorder="1" applyAlignment="1">
      <alignment horizontal="right" vertical="center" wrapText="1"/>
    </xf>
    <xf numFmtId="1" fontId="9" fillId="0" borderId="0" xfId="0" applyNumberFormat="1" applyFont="1" applyFill="1" applyBorder="1" applyAlignment="1">
      <alignment horizontal="left" vertical="center" wrapText="1"/>
    </xf>
    <xf numFmtId="166" fontId="8" fillId="0" borderId="29" xfId="0" applyNumberFormat="1" applyFont="1" applyFill="1" applyBorder="1" applyAlignment="1">
      <alignment horizontal="right" vertical="center" wrapText="1"/>
    </xf>
    <xf numFmtId="0" fontId="2" fillId="2" borderId="36" xfId="0" applyNumberFormat="1" applyFont="1" applyFill="1" applyBorder="1" applyAlignment="1">
      <alignment horizontal="center" vertical="center" wrapText="1"/>
    </xf>
    <xf numFmtId="167" fontId="12" fillId="2" borderId="28" xfId="0" applyNumberFormat="1" applyFont="1" applyFill="1" applyBorder="1" applyAlignment="1">
      <alignment horizontal="center" vertical="center" wrapText="1"/>
    </xf>
    <xf numFmtId="166" fontId="8" fillId="2" borderId="17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vertical="center"/>
    </xf>
    <xf numFmtId="166" fontId="8" fillId="0" borderId="0" xfId="0" applyNumberFormat="1" applyFont="1" applyFill="1" applyBorder="1" applyAlignment="1">
      <alignment vertical="center"/>
    </xf>
    <xf numFmtId="3" fontId="0" fillId="0" borderId="3" xfId="0" applyNumberFormat="1" applyFont="1" applyFill="1" applyBorder="1" applyAlignment="1">
      <alignment horizontal="left" vertical="center" wrapText="1"/>
    </xf>
    <xf numFmtId="167" fontId="9" fillId="0" borderId="4" xfId="0" applyNumberFormat="1" applyFont="1" applyFill="1" applyBorder="1" applyAlignment="1">
      <alignment horizontal="right" vertical="center" wrapText="1"/>
    </xf>
    <xf numFmtId="166" fontId="8" fillId="0" borderId="20" xfId="0" applyNumberFormat="1" applyFont="1" applyFill="1" applyBorder="1" applyAlignment="1">
      <alignment horizontal="right" vertical="center" wrapText="1"/>
    </xf>
    <xf numFmtId="0" fontId="2" fillId="15" borderId="0" xfId="0" applyNumberFormat="1" applyFont="1" applyFill="1" applyBorder="1" applyAlignment="1">
      <alignment vertical="center"/>
    </xf>
    <xf numFmtId="3" fontId="2" fillId="15" borderId="6" xfId="0" applyNumberFormat="1" applyFont="1" applyFill="1" applyBorder="1" applyAlignment="1">
      <alignment horizontal="left" vertical="center" wrapText="1"/>
    </xf>
    <xf numFmtId="167" fontId="8" fillId="15" borderId="1" xfId="0" applyNumberFormat="1" applyFont="1" applyFill="1" applyBorder="1" applyAlignment="1">
      <alignment horizontal="right" vertical="center" wrapText="1"/>
    </xf>
    <xf numFmtId="166" fontId="8" fillId="15" borderId="23" xfId="0" applyNumberFormat="1" applyFont="1" applyFill="1" applyBorder="1" applyAlignment="1">
      <alignment horizontal="right" vertical="center" wrapText="1"/>
    </xf>
    <xf numFmtId="1" fontId="2" fillId="15" borderId="0" xfId="0" applyNumberFormat="1" applyFont="1" applyFill="1" applyBorder="1" applyAlignment="1">
      <alignment vertical="center"/>
    </xf>
    <xf numFmtId="166" fontId="8" fillId="15" borderId="0" xfId="0" applyNumberFormat="1" applyFont="1" applyFill="1" applyBorder="1" applyAlignment="1">
      <alignment vertical="center"/>
    </xf>
    <xf numFmtId="3" fontId="8" fillId="15" borderId="1" xfId="0" applyNumberFormat="1" applyFont="1" applyFill="1" applyBorder="1" applyAlignment="1">
      <alignment horizontal="right" vertical="center" wrapText="1"/>
    </xf>
    <xf numFmtId="3" fontId="0" fillId="0" borderId="8" xfId="0" applyNumberFormat="1" applyFont="1" applyFill="1" applyBorder="1" applyAlignment="1">
      <alignment horizontal="left" vertical="center" wrapText="1"/>
    </xf>
    <xf numFmtId="3" fontId="0" fillId="0" borderId="9" xfId="0" applyNumberFormat="1" applyFont="1" applyFill="1" applyBorder="1" applyAlignment="1">
      <alignment horizontal="right" vertical="center" wrapText="1"/>
    </xf>
    <xf numFmtId="1" fontId="0" fillId="0" borderId="0" xfId="0" applyNumberFormat="1" applyFont="1" applyFill="1" applyBorder="1" applyAlignment="1">
      <alignment vertical="center"/>
    </xf>
    <xf numFmtId="166" fontId="8" fillId="2" borderId="29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vertical="center" wrapText="1"/>
    </xf>
    <xf numFmtId="166" fontId="9" fillId="0" borderId="0" xfId="0" applyNumberFormat="1" applyFont="1" applyFill="1" applyBorder="1" applyAlignment="1">
      <alignment vertical="center"/>
    </xf>
    <xf numFmtId="0" fontId="2" fillId="15" borderId="0" xfId="0" applyNumberFormat="1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vertical="center" wrapText="1"/>
    </xf>
    <xf numFmtId="167" fontId="9" fillId="0" borderId="0" xfId="0" applyNumberFormat="1" applyFont="1" applyFill="1" applyBorder="1" applyAlignment="1">
      <alignment vertical="center"/>
    </xf>
    <xf numFmtId="164" fontId="12" fillId="15" borderId="0" xfId="0" applyNumberFormat="1" applyFont="1" applyFill="1" applyBorder="1" applyAlignment="1">
      <alignment vertical="center" wrapText="1"/>
    </xf>
    <xf numFmtId="0" fontId="12" fillId="15" borderId="0" xfId="0" applyNumberFormat="1" applyFont="1" applyFill="1" applyBorder="1" applyAlignment="1">
      <alignment vertical="center" wrapText="1"/>
    </xf>
    <xf numFmtId="1" fontId="12" fillId="15" borderId="0" xfId="0" applyNumberFormat="1" applyFont="1" applyFill="1" applyBorder="1" applyAlignment="1">
      <alignment vertical="center"/>
    </xf>
    <xf numFmtId="164" fontId="2" fillId="15" borderId="0" xfId="0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vertical="center" wrapText="1"/>
    </xf>
    <xf numFmtId="167" fontId="12" fillId="15" borderId="0" xfId="0" applyNumberFormat="1" applyFont="1" applyFill="1" applyBorder="1" applyAlignment="1">
      <alignment vertical="center"/>
    </xf>
    <xf numFmtId="166" fontId="12" fillId="15" borderId="0" xfId="0" applyNumberFormat="1" applyFont="1" applyFill="1" applyBorder="1" applyAlignment="1">
      <alignment vertical="center"/>
    </xf>
    <xf numFmtId="164" fontId="12" fillId="14" borderId="0" xfId="0" applyNumberFormat="1" applyFont="1" applyFill="1" applyBorder="1" applyAlignment="1">
      <alignment horizontal="center" vertical="center" wrapText="1"/>
    </xf>
    <xf numFmtId="0" fontId="12" fillId="14" borderId="0" xfId="0" applyNumberFormat="1" applyFont="1" applyFill="1" applyBorder="1" applyAlignment="1">
      <alignment horizontal="center" vertical="center" wrapText="1"/>
    </xf>
    <xf numFmtId="167" fontId="12" fillId="14" borderId="0" xfId="0" applyNumberFormat="1" applyFont="1" applyFill="1" applyBorder="1" applyAlignment="1">
      <alignment horizontal="center" vertical="center" wrapText="1"/>
    </xf>
    <xf numFmtId="1" fontId="12" fillId="14" borderId="0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3" borderId="16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right" vertical="top" wrapText="1"/>
    </xf>
    <xf numFmtId="0" fontId="2" fillId="2" borderId="12" xfId="0" applyFont="1" applyFill="1" applyBorder="1" applyAlignment="1">
      <alignment horizontal="right" vertical="top" wrapText="1"/>
    </xf>
    <xf numFmtId="0" fontId="2" fillId="2" borderId="31" xfId="0" applyFont="1" applyFill="1" applyBorder="1" applyAlignment="1">
      <alignment horizontal="right" vertical="top" wrapText="1"/>
    </xf>
    <xf numFmtId="0" fontId="2" fillId="2" borderId="28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2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4" borderId="14" xfId="0" applyFont="1" applyFill="1" applyBorder="1" applyAlignment="1">
      <alignment horizontal="center" vertical="top" wrapText="1"/>
    </xf>
    <xf numFmtId="0" fontId="4" fillId="4" borderId="15" xfId="0" applyFont="1" applyFill="1" applyBorder="1" applyAlignment="1">
      <alignment horizontal="center" vertical="top" wrapText="1"/>
    </xf>
    <xf numFmtId="0" fontId="4" fillId="4" borderId="16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13" fillId="10" borderId="0" xfId="0" applyNumberFormat="1" applyFont="1" applyFill="1" applyBorder="1" applyAlignment="1">
      <alignment vertical="top" wrapText="1"/>
    </xf>
    <xf numFmtId="0" fontId="5" fillId="5" borderId="11" xfId="0" applyFont="1" applyFill="1" applyBorder="1" applyAlignment="1">
      <alignment horizontal="right" vertical="top" wrapText="1"/>
    </xf>
    <xf numFmtId="0" fontId="5" fillId="5" borderId="12" xfId="0" applyFont="1" applyFill="1" applyBorder="1" applyAlignment="1">
      <alignment horizontal="right" vertical="top" wrapText="1"/>
    </xf>
    <xf numFmtId="0" fontId="5" fillId="5" borderId="31" xfId="0" applyFont="1" applyFill="1" applyBorder="1" applyAlignment="1">
      <alignment horizontal="right" vertical="top" wrapText="1"/>
    </xf>
    <xf numFmtId="0" fontId="7" fillId="6" borderId="0" xfId="0" applyNumberFormat="1" applyFont="1" applyFill="1" applyBorder="1" applyAlignment="1">
      <alignment horizontal="center" vertical="center"/>
    </xf>
    <xf numFmtId="0" fontId="7" fillId="14" borderId="0" xfId="0" applyNumberFormat="1" applyFont="1" applyFill="1" applyBorder="1" applyAlignment="1">
      <alignment horizontal="center" vertical="center" wrapText="1"/>
    </xf>
    <xf numFmtId="17" fontId="7" fillId="14" borderId="0" xfId="0" applyNumberFormat="1" applyFont="1" applyFill="1" applyBorder="1" applyAlignment="1">
      <alignment horizontal="center" vertical="center" wrapText="1"/>
    </xf>
    <xf numFmtId="166" fontId="8" fillId="14" borderId="0" xfId="0" applyNumberFormat="1" applyFont="1" applyFill="1" applyBorder="1" applyAlignment="1">
      <alignment horizontal="center" vertical="center" wrapText="1"/>
    </xf>
    <xf numFmtId="1" fontId="7" fillId="14" borderId="0" xfId="0" applyNumberFormat="1" applyFont="1" applyFill="1" applyBorder="1" applyAlignment="1">
      <alignment horizontal="center" vertical="center" wrapText="1"/>
    </xf>
    <xf numFmtId="0" fontId="7" fillId="13" borderId="0" xfId="0" applyNumberFormat="1" applyFont="1" applyFill="1" applyBorder="1" applyAlignment="1">
      <alignment horizontal="left" vertical="center"/>
    </xf>
    <xf numFmtId="0" fontId="16" fillId="13" borderId="0" xfId="0" applyNumberFormat="1" applyFont="1" applyFill="1" applyBorder="1" applyAlignment="1">
      <alignment horizontal="left" vertical="center" wrapText="1"/>
    </xf>
    <xf numFmtId="0" fontId="7" fillId="13" borderId="0" xfId="0" applyNumberFormat="1" applyFont="1" applyFill="1" applyBorder="1" applyAlignment="1">
      <alignment horizontal="left" vertical="center" wrapText="1"/>
    </xf>
    <xf numFmtId="166" fontId="7" fillId="13" borderId="0" xfId="0" applyNumberFormat="1" applyFont="1" applyFill="1" applyBorder="1" applyAlignment="1">
      <alignment horizontal="left" vertical="center"/>
    </xf>
    <xf numFmtId="1" fontId="7" fillId="13" borderId="0" xfId="0" applyNumberFormat="1" applyFont="1" applyFill="1" applyBorder="1" applyAlignment="1">
      <alignment horizontal="left" vertical="center"/>
    </xf>
    <xf numFmtId="164" fontId="7" fillId="13" borderId="0" xfId="0" applyNumberFormat="1" applyFont="1" applyFill="1" applyBorder="1" applyAlignment="1">
      <alignment horizontal="left" vertical="center" wrapText="1"/>
    </xf>
    <xf numFmtId="3" fontId="2" fillId="14" borderId="32" xfId="0" applyNumberFormat="1" applyFont="1" applyFill="1" applyBorder="1" applyAlignment="1">
      <alignment horizontal="center" vertical="center" wrapText="1"/>
    </xf>
    <xf numFmtId="3" fontId="2" fillId="14" borderId="3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3" fontId="2" fillId="2" borderId="12" xfId="0" applyNumberFormat="1" applyFont="1" applyFill="1" applyBorder="1" applyAlignment="1">
      <alignment horizontal="right" vertical="center" wrapText="1"/>
    </xf>
    <xf numFmtId="166" fontId="12" fillId="2" borderId="12" xfId="0" applyNumberFormat="1" applyFont="1" applyFill="1" applyBorder="1" applyAlignment="1">
      <alignment horizontal="right" vertical="center" wrapText="1"/>
    </xf>
    <xf numFmtId="166" fontId="12" fillId="2" borderId="31" xfId="0" applyNumberFormat="1" applyFont="1" applyFill="1" applyBorder="1" applyAlignment="1">
      <alignment horizontal="right" vertical="center" wrapText="1"/>
    </xf>
    <xf numFmtId="0" fontId="14" fillId="11" borderId="14" xfId="0" applyNumberFormat="1" applyFont="1" applyFill="1" applyBorder="1" applyAlignment="1">
      <alignment horizontal="center" vertical="center" wrapText="1"/>
    </xf>
    <xf numFmtId="0" fontId="14" fillId="11" borderId="15" xfId="0" applyNumberFormat="1" applyFont="1" applyFill="1" applyBorder="1" applyAlignment="1">
      <alignment horizontal="center" vertical="center" wrapText="1"/>
    </xf>
    <xf numFmtId="0" fontId="14" fillId="11" borderId="16" xfId="0" applyNumberFormat="1" applyFont="1" applyFill="1" applyBorder="1" applyAlignment="1">
      <alignment horizontal="center" vertical="center" wrapText="1"/>
    </xf>
    <xf numFmtId="0" fontId="0" fillId="0" borderId="32" xfId="0" applyNumberFormat="1" applyFont="1" applyFill="1" applyBorder="1" applyAlignment="1">
      <alignment horizontal="center" vertical="center" wrapText="1"/>
    </xf>
    <xf numFmtId="164" fontId="9" fillId="0" borderId="34" xfId="0" applyNumberFormat="1" applyFont="1" applyFill="1" applyBorder="1" applyAlignment="1">
      <alignment horizontal="center" vertical="center" wrapText="1"/>
    </xf>
    <xf numFmtId="0" fontId="9" fillId="0" borderId="34" xfId="0" applyNumberFormat="1" applyFont="1" applyFill="1" applyBorder="1" applyAlignment="1">
      <alignment horizontal="center" vertical="center" wrapText="1"/>
    </xf>
    <xf numFmtId="164" fontId="12" fillId="2" borderId="28" xfId="0" applyNumberFormat="1" applyFont="1" applyFill="1" applyBorder="1" applyAlignment="1">
      <alignment horizontal="center" vertical="center" wrapText="1"/>
    </xf>
    <xf numFmtId="0" fontId="12" fillId="2" borderId="28" xfId="0" applyNumberFormat="1" applyFont="1" applyFill="1" applyBorder="1" applyAlignment="1">
      <alignment horizontal="center" vertical="center" wrapText="1"/>
    </xf>
    <xf numFmtId="164" fontId="9" fillId="0" borderId="4" xfId="0" applyNumberFormat="1" applyFont="1" applyFill="1" applyBorder="1" applyAlignment="1">
      <alignment horizontal="left" vertical="center" wrapText="1"/>
    </xf>
    <xf numFmtId="3" fontId="9" fillId="0" borderId="4" xfId="0" applyNumberFormat="1" applyFont="1" applyFill="1" applyBorder="1" applyAlignment="1">
      <alignment horizontal="left" vertical="center" wrapText="1"/>
    </xf>
    <xf numFmtId="3" fontId="2" fillId="15" borderId="1" xfId="0" applyNumberFormat="1" applyFont="1" applyFill="1" applyBorder="1" applyAlignment="1">
      <alignment horizontal="left" vertical="center" wrapText="1"/>
    </xf>
    <xf numFmtId="3" fontId="0" fillId="0" borderId="9" xfId="0" applyNumberFormat="1" applyFont="1" applyFill="1" applyBorder="1" applyAlignment="1">
      <alignment horizontal="left" vertical="center" wrapText="1"/>
    </xf>
    <xf numFmtId="0" fontId="12" fillId="12" borderId="0" xfId="0" applyNumberFormat="1" applyFont="1" applyFill="1" applyBorder="1" applyAlignment="1">
      <alignment vertical="center" wrapText="1"/>
    </xf>
    <xf numFmtId="0" fontId="12" fillId="12" borderId="36" xfId="0" applyNumberFormat="1" applyFont="1" applyFill="1" applyBorder="1" applyAlignment="1">
      <alignment horizontal="center" vertical="center" wrapText="1"/>
    </xf>
    <xf numFmtId="0" fontId="12" fillId="12" borderId="28" xfId="0" applyNumberFormat="1" applyFont="1" applyFill="1" applyBorder="1" applyAlignment="1">
      <alignment horizontal="center" vertical="center" wrapText="1"/>
    </xf>
    <xf numFmtId="17" fontId="12" fillId="12" borderId="28" xfId="0" applyNumberFormat="1" applyFont="1" applyFill="1" applyBorder="1" applyAlignment="1">
      <alignment horizontal="center" vertical="center" wrapText="1"/>
    </xf>
    <xf numFmtId="0" fontId="12" fillId="12" borderId="17" xfId="0" applyNumberFormat="1" applyFont="1" applyFill="1" applyBorder="1" applyAlignment="1">
      <alignment horizontal="center" vertical="center" wrapText="1"/>
    </xf>
    <xf numFmtId="0" fontId="12" fillId="12" borderId="25" xfId="0" applyNumberFormat="1" applyFont="1" applyFill="1" applyBorder="1" applyAlignment="1">
      <alignment horizontal="center" vertical="center" wrapText="1"/>
    </xf>
    <xf numFmtId="0" fontId="12" fillId="12" borderId="13" xfId="0" applyNumberFormat="1" applyFont="1" applyFill="1" applyBorder="1" applyAlignment="1">
      <alignment horizontal="center" vertical="center" wrapText="1"/>
    </xf>
    <xf numFmtId="0" fontId="7" fillId="13" borderId="6" xfId="0" applyNumberFormat="1" applyFont="1" applyFill="1" applyBorder="1" applyAlignment="1">
      <alignment horizontal="left" vertical="center" wrapText="1"/>
    </xf>
    <xf numFmtId="0" fontId="7" fillId="13" borderId="1" xfId="0" applyNumberFormat="1" applyFont="1" applyFill="1" applyBorder="1" applyAlignment="1">
      <alignment horizontal="left" vertical="center" wrapText="1"/>
    </xf>
    <xf numFmtId="0" fontId="7" fillId="13" borderId="19" xfId="0" applyNumberFormat="1" applyFont="1" applyFill="1" applyBorder="1" applyAlignment="1">
      <alignment horizontal="left" vertical="center" wrapText="1"/>
    </xf>
    <xf numFmtId="3" fontId="7" fillId="13" borderId="23" xfId="0" applyNumberFormat="1" applyFont="1" applyFill="1" applyBorder="1" applyAlignment="1">
      <alignment horizontal="left" vertical="center" wrapText="1"/>
    </xf>
    <xf numFmtId="3" fontId="7" fillId="13" borderId="40" xfId="0" applyNumberFormat="1" applyFont="1" applyFill="1" applyBorder="1" applyAlignment="1">
      <alignment horizontal="left" vertical="center" wrapText="1"/>
    </xf>
    <xf numFmtId="3" fontId="7" fillId="13" borderId="7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tabSelected="1" workbookViewId="0">
      <selection activeCell="B1" sqref="B1:J1"/>
    </sheetView>
  </sheetViews>
  <sheetFormatPr defaultColWidth="11.59765625" defaultRowHeight="14.25" x14ac:dyDescent="0.45"/>
  <cols>
    <col min="1" max="1" width="3.53125" style="1" customWidth="1"/>
    <col min="2" max="2" width="32.46484375" style="1" customWidth="1"/>
    <col min="3" max="3" width="9.265625" style="1" customWidth="1"/>
    <col min="4" max="4" width="40.33203125" style="1" customWidth="1"/>
    <col min="5" max="5" width="6.1328125" style="1" customWidth="1"/>
    <col min="6" max="6" width="5.53125" style="1" customWidth="1"/>
    <col min="7" max="7" width="6.53125" style="1" customWidth="1"/>
    <col min="8" max="8" width="6.33203125" style="1" customWidth="1"/>
    <col min="9" max="9" width="7.19921875" style="1" customWidth="1"/>
    <col min="10" max="10" width="14.3984375" style="1" customWidth="1"/>
    <col min="11" max="16384" width="11.59765625" style="1"/>
  </cols>
  <sheetData>
    <row r="1" spans="2:10" x14ac:dyDescent="0.45">
      <c r="B1" s="161" t="s">
        <v>0</v>
      </c>
      <c r="C1" s="162"/>
      <c r="D1" s="162"/>
      <c r="E1" s="162"/>
      <c r="F1" s="162"/>
      <c r="G1" s="162"/>
      <c r="H1" s="162"/>
      <c r="I1" s="162"/>
      <c r="J1" s="163"/>
    </row>
    <row r="2" spans="2:10" s="2" customFormat="1" x14ac:dyDescent="0.45">
      <c r="B2" s="24" t="s">
        <v>1</v>
      </c>
      <c r="C2" s="17" t="s">
        <v>2</v>
      </c>
      <c r="D2" s="17" t="s">
        <v>3</v>
      </c>
      <c r="E2" s="18">
        <v>46174</v>
      </c>
      <c r="F2" s="18">
        <v>46204</v>
      </c>
      <c r="G2" s="18">
        <v>46235</v>
      </c>
      <c r="H2" s="30">
        <v>46266</v>
      </c>
      <c r="I2" s="33" t="s">
        <v>4</v>
      </c>
      <c r="J2" s="25" t="s">
        <v>5</v>
      </c>
    </row>
    <row r="3" spans="2:10" x14ac:dyDescent="0.45">
      <c r="B3" s="28" t="s">
        <v>6</v>
      </c>
      <c r="C3" s="6">
        <v>200</v>
      </c>
      <c r="D3" s="5" t="s">
        <v>7</v>
      </c>
      <c r="E3" s="6">
        <v>0.25</v>
      </c>
      <c r="F3" s="6">
        <v>0.25</v>
      </c>
      <c r="G3" s="6">
        <v>0.25</v>
      </c>
      <c r="H3" s="31">
        <v>0.25</v>
      </c>
      <c r="I3" s="40">
        <f>SUM(E3:H3)*C3*160</f>
        <v>32000</v>
      </c>
      <c r="J3" s="29">
        <v>0</v>
      </c>
    </row>
    <row r="4" spans="2:10" x14ac:dyDescent="0.45">
      <c r="B4" s="19" t="s">
        <v>8</v>
      </c>
      <c r="C4" s="4">
        <v>75</v>
      </c>
      <c r="D4" s="3" t="s">
        <v>7</v>
      </c>
      <c r="E4" s="4">
        <v>0.25</v>
      </c>
      <c r="F4" s="4">
        <v>0.25</v>
      </c>
      <c r="G4" s="4">
        <v>0.25</v>
      </c>
      <c r="H4" s="14">
        <v>0.25</v>
      </c>
      <c r="I4" s="42">
        <f t="shared" ref="I4:I11" si="0">SUM(E4:H4)*C4*160</f>
        <v>12000</v>
      </c>
      <c r="J4" s="20">
        <v>300</v>
      </c>
    </row>
    <row r="5" spans="2:10" x14ac:dyDescent="0.45">
      <c r="B5" s="19" t="s">
        <v>9</v>
      </c>
      <c r="C5" s="4">
        <v>25</v>
      </c>
      <c r="D5" s="3" t="s">
        <v>10</v>
      </c>
      <c r="E5" s="4">
        <v>0</v>
      </c>
      <c r="F5" s="4">
        <v>0.5</v>
      </c>
      <c r="G5" s="4">
        <v>0.5</v>
      </c>
      <c r="H5" s="14">
        <v>0.5</v>
      </c>
      <c r="I5" s="42">
        <f t="shared" si="0"/>
        <v>6000</v>
      </c>
      <c r="J5" s="20">
        <v>0</v>
      </c>
    </row>
    <row r="6" spans="2:10" x14ac:dyDescent="0.45">
      <c r="B6" s="19" t="s">
        <v>11</v>
      </c>
      <c r="C6" s="4">
        <v>25</v>
      </c>
      <c r="D6" s="3" t="s">
        <v>12</v>
      </c>
      <c r="E6" s="4">
        <v>1</v>
      </c>
      <c r="F6" s="4">
        <v>0.5</v>
      </c>
      <c r="G6" s="4">
        <v>0.5</v>
      </c>
      <c r="H6" s="14">
        <v>0.5</v>
      </c>
      <c r="I6" s="42">
        <f t="shared" si="0"/>
        <v>10000</v>
      </c>
      <c r="J6" s="20">
        <v>0</v>
      </c>
    </row>
    <row r="7" spans="2:10" x14ac:dyDescent="0.45">
      <c r="B7" s="19" t="s">
        <v>13</v>
      </c>
      <c r="C7" s="4">
        <v>25</v>
      </c>
      <c r="D7" s="3" t="s">
        <v>14</v>
      </c>
      <c r="E7" s="4">
        <v>1</v>
      </c>
      <c r="F7" s="4">
        <v>2</v>
      </c>
      <c r="G7" s="4">
        <v>2</v>
      </c>
      <c r="H7" s="14">
        <v>2</v>
      </c>
      <c r="I7" s="42">
        <f t="shared" si="0"/>
        <v>28000</v>
      </c>
      <c r="J7" s="20">
        <v>0</v>
      </c>
    </row>
    <row r="8" spans="2:10" x14ac:dyDescent="0.45">
      <c r="B8" s="19" t="s">
        <v>15</v>
      </c>
      <c r="C8" s="4">
        <v>25</v>
      </c>
      <c r="D8" s="3" t="s">
        <v>16</v>
      </c>
      <c r="E8" s="4">
        <v>1</v>
      </c>
      <c r="F8" s="4">
        <v>2</v>
      </c>
      <c r="G8" s="4">
        <v>2</v>
      </c>
      <c r="H8" s="14">
        <v>2</v>
      </c>
      <c r="I8" s="42">
        <f t="shared" si="0"/>
        <v>28000</v>
      </c>
      <c r="J8" s="20">
        <v>0</v>
      </c>
    </row>
    <row r="9" spans="2:10" x14ac:dyDescent="0.45">
      <c r="B9" s="19" t="s">
        <v>17</v>
      </c>
      <c r="C9" s="4">
        <v>25</v>
      </c>
      <c r="D9" s="3" t="s">
        <v>18</v>
      </c>
      <c r="E9" s="4">
        <v>0</v>
      </c>
      <c r="F9" s="4">
        <v>1</v>
      </c>
      <c r="G9" s="4">
        <v>1</v>
      </c>
      <c r="H9" s="14">
        <v>1</v>
      </c>
      <c r="I9" s="42">
        <f t="shared" si="0"/>
        <v>12000</v>
      </c>
      <c r="J9" s="20">
        <v>0</v>
      </c>
    </row>
    <row r="10" spans="2:10" x14ac:dyDescent="0.45">
      <c r="B10" s="19" t="s">
        <v>19</v>
      </c>
      <c r="C10" s="4">
        <v>25</v>
      </c>
      <c r="D10" s="3" t="s">
        <v>20</v>
      </c>
      <c r="E10" s="4">
        <v>1</v>
      </c>
      <c r="F10" s="4">
        <v>1</v>
      </c>
      <c r="G10" s="4">
        <v>1</v>
      </c>
      <c r="H10" s="14">
        <v>1</v>
      </c>
      <c r="I10" s="42">
        <f t="shared" si="0"/>
        <v>16000</v>
      </c>
      <c r="J10" s="20">
        <v>0</v>
      </c>
    </row>
    <row r="11" spans="2:10" x14ac:dyDescent="0.45">
      <c r="B11" s="21" t="s">
        <v>21</v>
      </c>
      <c r="C11" s="8">
        <v>25</v>
      </c>
      <c r="D11" s="7" t="s">
        <v>22</v>
      </c>
      <c r="E11" s="8">
        <v>1</v>
      </c>
      <c r="F11" s="8">
        <v>2</v>
      </c>
      <c r="G11" s="8">
        <v>2</v>
      </c>
      <c r="H11" s="16">
        <v>2</v>
      </c>
      <c r="I11" s="46">
        <f t="shared" si="0"/>
        <v>28000</v>
      </c>
      <c r="J11" s="22">
        <v>0</v>
      </c>
    </row>
    <row r="12" spans="2:10" x14ac:dyDescent="0.45">
      <c r="B12" s="170"/>
      <c r="C12" s="171"/>
      <c r="D12" s="171"/>
      <c r="E12" s="26">
        <f>SUM(E3:E11)</f>
        <v>5.5</v>
      </c>
      <c r="F12" s="26">
        <f t="shared" ref="F12:H12" si="1">SUM(F3:F11)</f>
        <v>9.5</v>
      </c>
      <c r="G12" s="26">
        <f t="shared" si="1"/>
        <v>9.5</v>
      </c>
      <c r="H12" s="32">
        <f t="shared" si="1"/>
        <v>9.5</v>
      </c>
      <c r="I12" s="49">
        <f>SUM(I3:I11)</f>
        <v>172000</v>
      </c>
      <c r="J12" s="27">
        <f>SUM(J3:J11)</f>
        <v>300</v>
      </c>
    </row>
    <row r="13" spans="2:10" s="2" customFormat="1" x14ac:dyDescent="0.45">
      <c r="B13" s="24" t="s">
        <v>23</v>
      </c>
      <c r="C13" s="167" t="s">
        <v>24</v>
      </c>
      <c r="D13" s="167"/>
      <c r="E13" s="18">
        <v>46174</v>
      </c>
      <c r="F13" s="18">
        <v>46204</v>
      </c>
      <c r="G13" s="18">
        <v>46235</v>
      </c>
      <c r="H13" s="30">
        <v>46266</v>
      </c>
      <c r="I13" s="33" t="s">
        <v>4</v>
      </c>
      <c r="J13" s="1"/>
    </row>
    <row r="14" spans="2:10" x14ac:dyDescent="0.45">
      <c r="B14" s="28" t="s">
        <v>25</v>
      </c>
      <c r="C14" s="168" t="s">
        <v>26</v>
      </c>
      <c r="D14" s="168"/>
      <c r="E14" s="6">
        <v>50</v>
      </c>
      <c r="F14" s="6">
        <v>50</v>
      </c>
      <c r="G14" s="6">
        <v>50</v>
      </c>
      <c r="H14" s="31">
        <v>50</v>
      </c>
      <c r="I14" s="34">
        <f>SUM(E14:H14)</f>
        <v>200</v>
      </c>
    </row>
    <row r="15" spans="2:10" x14ac:dyDescent="0.45">
      <c r="B15" s="21" t="s">
        <v>27</v>
      </c>
      <c r="C15" s="169" t="s">
        <v>28</v>
      </c>
      <c r="D15" s="169"/>
      <c r="E15" s="8">
        <v>50</v>
      </c>
      <c r="F15" s="8">
        <v>50</v>
      </c>
      <c r="G15" s="8">
        <v>50</v>
      </c>
      <c r="H15" s="16">
        <v>50</v>
      </c>
      <c r="I15" s="36">
        <f>SUM(E15:H15)</f>
        <v>200</v>
      </c>
    </row>
    <row r="16" spans="2:10" x14ac:dyDescent="0.45">
      <c r="B16" s="170"/>
      <c r="C16" s="171"/>
      <c r="D16" s="171"/>
      <c r="E16" s="26">
        <f>SUM(E14:E15)</f>
        <v>100</v>
      </c>
      <c r="F16" s="26">
        <f t="shared" ref="F16:I16" si="2">SUM(F14:F15)</f>
        <v>100</v>
      </c>
      <c r="G16" s="26">
        <f t="shared" si="2"/>
        <v>100</v>
      </c>
      <c r="H16" s="32">
        <f t="shared" si="2"/>
        <v>100</v>
      </c>
      <c r="I16" s="37">
        <f t="shared" si="2"/>
        <v>400</v>
      </c>
    </row>
    <row r="17" spans="2:9" x14ac:dyDescent="0.45">
      <c r="B17" s="164" t="s">
        <v>29</v>
      </c>
      <c r="C17" s="165"/>
      <c r="D17" s="165"/>
      <c r="E17" s="165"/>
      <c r="F17" s="165"/>
      <c r="G17" s="165"/>
      <c r="H17" s="166"/>
      <c r="I17" s="38">
        <f>J12+I16</f>
        <v>700</v>
      </c>
    </row>
    <row r="19" spans="2:9" x14ac:dyDescent="0.45">
      <c r="B19" s="164" t="s">
        <v>30</v>
      </c>
      <c r="C19" s="165"/>
      <c r="D19" s="165"/>
      <c r="E19" s="165"/>
      <c r="F19" s="165"/>
      <c r="G19" s="165"/>
      <c r="H19" s="166"/>
      <c r="I19" s="38">
        <f>I17/4</f>
        <v>175</v>
      </c>
    </row>
  </sheetData>
  <mergeCells count="8">
    <mergeCell ref="B1:J1"/>
    <mergeCell ref="B19:H19"/>
    <mergeCell ref="C13:D13"/>
    <mergeCell ref="C14:D14"/>
    <mergeCell ref="C15:D15"/>
    <mergeCell ref="B12:D12"/>
    <mergeCell ref="B17:H17"/>
    <mergeCell ref="B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workbookViewId="0">
      <selection activeCell="B1" sqref="B1:J1"/>
    </sheetView>
  </sheetViews>
  <sheetFormatPr defaultColWidth="11.59765625" defaultRowHeight="14.25" x14ac:dyDescent="0.45"/>
  <cols>
    <col min="1" max="1" width="3.53125" style="1" customWidth="1"/>
    <col min="2" max="2" width="28.9296875" style="1" customWidth="1"/>
    <col min="3" max="3" width="9.265625" style="1" customWidth="1"/>
    <col min="4" max="4" width="40" style="1" customWidth="1"/>
    <col min="5" max="5" width="6.1328125" style="1" customWidth="1"/>
    <col min="6" max="6" width="6.53125" style="1" customWidth="1"/>
    <col min="7" max="7" width="6.33203125" style="1" customWidth="1"/>
    <col min="8" max="8" width="7.19921875" style="1" customWidth="1"/>
    <col min="9" max="9" width="9.796875" style="1" customWidth="1"/>
    <col min="10" max="10" width="14.06640625" style="1" customWidth="1"/>
    <col min="11" max="16384" width="11.59765625" style="1"/>
  </cols>
  <sheetData>
    <row r="1" spans="2:10" x14ac:dyDescent="0.45">
      <c r="B1" s="161" t="s">
        <v>31</v>
      </c>
      <c r="C1" s="162"/>
      <c r="D1" s="162"/>
      <c r="E1" s="162"/>
      <c r="F1" s="162"/>
      <c r="G1" s="162"/>
      <c r="H1" s="162"/>
      <c r="I1" s="162"/>
      <c r="J1" s="163"/>
    </row>
    <row r="2" spans="2:10" x14ac:dyDescent="0.45">
      <c r="B2" s="24" t="s">
        <v>1</v>
      </c>
      <c r="C2" s="17" t="s">
        <v>2</v>
      </c>
      <c r="D2" s="17" t="s">
        <v>3</v>
      </c>
      <c r="E2" s="18">
        <v>46296</v>
      </c>
      <c r="F2" s="18">
        <v>46327</v>
      </c>
      <c r="G2" s="18">
        <v>46357</v>
      </c>
      <c r="H2" s="33" t="s">
        <v>4</v>
      </c>
      <c r="I2" s="39" t="s">
        <v>32</v>
      </c>
      <c r="J2" s="25" t="s">
        <v>5</v>
      </c>
    </row>
    <row r="3" spans="2:10" x14ac:dyDescent="0.45">
      <c r="B3" s="28" t="s">
        <v>6</v>
      </c>
      <c r="C3" s="6">
        <v>200</v>
      </c>
      <c r="D3" s="5" t="s">
        <v>7</v>
      </c>
      <c r="E3" s="6">
        <v>0.25</v>
      </c>
      <c r="F3" s="6">
        <v>0.25</v>
      </c>
      <c r="G3" s="31">
        <v>0.25</v>
      </c>
      <c r="H3" s="40">
        <f t="shared" ref="H3:H14" si="0">SUM(E3:G3)*C3*160</f>
        <v>24000</v>
      </c>
      <c r="I3" s="41">
        <v>100</v>
      </c>
      <c r="J3" s="11">
        <f>H3*(100-I3)/100</f>
        <v>0</v>
      </c>
    </row>
    <row r="4" spans="2:10" x14ac:dyDescent="0.45">
      <c r="B4" s="19" t="s">
        <v>8</v>
      </c>
      <c r="C4" s="4">
        <v>75</v>
      </c>
      <c r="D4" s="3" t="s">
        <v>7</v>
      </c>
      <c r="E4" s="4">
        <v>0.5</v>
      </c>
      <c r="F4" s="4">
        <v>0.5</v>
      </c>
      <c r="G4" s="14">
        <v>0.5</v>
      </c>
      <c r="H4" s="42">
        <f t="shared" si="0"/>
        <v>18000</v>
      </c>
      <c r="I4" s="43">
        <v>90</v>
      </c>
      <c r="J4" s="12">
        <f>H4*(100-I4)/100</f>
        <v>1800</v>
      </c>
    </row>
    <row r="5" spans="2:10" x14ac:dyDescent="0.45">
      <c r="B5" s="19" t="s">
        <v>33</v>
      </c>
      <c r="C5" s="4">
        <v>40</v>
      </c>
      <c r="D5" s="3" t="s">
        <v>34</v>
      </c>
      <c r="E5" s="4">
        <v>2</v>
      </c>
      <c r="F5" s="4">
        <v>2</v>
      </c>
      <c r="G5" s="14">
        <v>2</v>
      </c>
      <c r="H5" s="42">
        <f t="shared" si="0"/>
        <v>38400</v>
      </c>
      <c r="I5" s="43">
        <v>90</v>
      </c>
      <c r="J5" s="12">
        <f t="shared" ref="J5:J13" si="1">H5*(100-I5)/100</f>
        <v>3840</v>
      </c>
    </row>
    <row r="6" spans="2:10" x14ac:dyDescent="0.45">
      <c r="B6" s="19" t="s">
        <v>11</v>
      </c>
      <c r="C6" s="4">
        <v>25</v>
      </c>
      <c r="D6" s="3" t="s">
        <v>12</v>
      </c>
      <c r="E6" s="4">
        <v>2</v>
      </c>
      <c r="F6" s="4">
        <v>2</v>
      </c>
      <c r="G6" s="14">
        <v>2</v>
      </c>
      <c r="H6" s="42">
        <f t="shared" si="0"/>
        <v>24000</v>
      </c>
      <c r="I6" s="43">
        <v>100</v>
      </c>
      <c r="J6" s="12">
        <f t="shared" si="1"/>
        <v>0</v>
      </c>
    </row>
    <row r="7" spans="2:10" x14ac:dyDescent="0.45">
      <c r="B7" s="19" t="s">
        <v>35</v>
      </c>
      <c r="C7" s="4">
        <v>40</v>
      </c>
      <c r="D7" s="3" t="s">
        <v>14</v>
      </c>
      <c r="E7" s="4">
        <v>2</v>
      </c>
      <c r="F7" s="4">
        <v>2</v>
      </c>
      <c r="G7" s="14">
        <v>2</v>
      </c>
      <c r="H7" s="42">
        <f t="shared" si="0"/>
        <v>38400</v>
      </c>
      <c r="I7" s="43">
        <v>90</v>
      </c>
      <c r="J7" s="12">
        <f t="shared" si="1"/>
        <v>3840</v>
      </c>
    </row>
    <row r="8" spans="2:10" x14ac:dyDescent="0.45">
      <c r="B8" s="19" t="s">
        <v>13</v>
      </c>
      <c r="C8" s="4">
        <v>25</v>
      </c>
      <c r="D8" s="3" t="s">
        <v>14</v>
      </c>
      <c r="E8" s="4">
        <v>2</v>
      </c>
      <c r="F8" s="4">
        <v>2</v>
      </c>
      <c r="G8" s="14">
        <v>2</v>
      </c>
      <c r="H8" s="42">
        <f t="shared" si="0"/>
        <v>24000</v>
      </c>
      <c r="I8" s="43">
        <v>100</v>
      </c>
      <c r="J8" s="12">
        <f t="shared" si="1"/>
        <v>0</v>
      </c>
    </row>
    <row r="9" spans="2:10" x14ac:dyDescent="0.45">
      <c r="B9" s="19" t="s">
        <v>36</v>
      </c>
      <c r="C9" s="4">
        <v>40</v>
      </c>
      <c r="D9" s="3" t="s">
        <v>16</v>
      </c>
      <c r="E9" s="4">
        <v>2</v>
      </c>
      <c r="F9" s="4">
        <v>2</v>
      </c>
      <c r="G9" s="14">
        <v>2</v>
      </c>
      <c r="H9" s="42">
        <f t="shared" si="0"/>
        <v>38400</v>
      </c>
      <c r="I9" s="43">
        <v>90</v>
      </c>
      <c r="J9" s="12">
        <f t="shared" si="1"/>
        <v>3840</v>
      </c>
    </row>
    <row r="10" spans="2:10" x14ac:dyDescent="0.45">
      <c r="B10" s="19" t="s">
        <v>15</v>
      </c>
      <c r="C10" s="4">
        <v>25</v>
      </c>
      <c r="D10" s="3" t="s">
        <v>16</v>
      </c>
      <c r="E10" s="4">
        <v>2</v>
      </c>
      <c r="F10" s="4">
        <v>2</v>
      </c>
      <c r="G10" s="14">
        <v>2</v>
      </c>
      <c r="H10" s="42">
        <f t="shared" si="0"/>
        <v>24000</v>
      </c>
      <c r="I10" s="43">
        <v>100</v>
      </c>
      <c r="J10" s="12">
        <f t="shared" si="1"/>
        <v>0</v>
      </c>
    </row>
    <row r="11" spans="2:10" x14ac:dyDescent="0.45">
      <c r="B11" s="19" t="s">
        <v>37</v>
      </c>
      <c r="C11" s="4">
        <v>40</v>
      </c>
      <c r="D11" s="3" t="s">
        <v>38</v>
      </c>
      <c r="E11" s="4">
        <v>1</v>
      </c>
      <c r="F11" s="4">
        <v>1</v>
      </c>
      <c r="G11" s="14">
        <v>1</v>
      </c>
      <c r="H11" s="42">
        <f t="shared" si="0"/>
        <v>19200</v>
      </c>
      <c r="I11" s="43">
        <v>90</v>
      </c>
      <c r="J11" s="12">
        <f t="shared" si="1"/>
        <v>1920</v>
      </c>
    </row>
    <row r="12" spans="2:10" x14ac:dyDescent="0.45">
      <c r="B12" s="19" t="s">
        <v>39</v>
      </c>
      <c r="C12" s="4">
        <v>25</v>
      </c>
      <c r="D12" s="3" t="s">
        <v>38</v>
      </c>
      <c r="E12" s="4">
        <v>1</v>
      </c>
      <c r="F12" s="4">
        <v>1</v>
      </c>
      <c r="G12" s="14">
        <v>1</v>
      </c>
      <c r="H12" s="42">
        <f t="shared" si="0"/>
        <v>12000</v>
      </c>
      <c r="I12" s="43">
        <v>100</v>
      </c>
      <c r="J12" s="12">
        <f t="shared" si="1"/>
        <v>0</v>
      </c>
    </row>
    <row r="13" spans="2:10" x14ac:dyDescent="0.45">
      <c r="B13" s="23" t="s">
        <v>40</v>
      </c>
      <c r="C13" s="10">
        <v>40</v>
      </c>
      <c r="D13" s="9" t="s">
        <v>22</v>
      </c>
      <c r="E13" s="10">
        <v>2</v>
      </c>
      <c r="F13" s="10">
        <v>2</v>
      </c>
      <c r="G13" s="15">
        <v>2</v>
      </c>
      <c r="H13" s="44">
        <f t="shared" si="0"/>
        <v>38400</v>
      </c>
      <c r="I13" s="45">
        <v>90</v>
      </c>
      <c r="J13" s="12">
        <f t="shared" si="1"/>
        <v>3840</v>
      </c>
    </row>
    <row r="14" spans="2:10" x14ac:dyDescent="0.45">
      <c r="B14" s="21" t="s">
        <v>21</v>
      </c>
      <c r="C14" s="8">
        <v>25</v>
      </c>
      <c r="D14" s="7" t="s">
        <v>22</v>
      </c>
      <c r="E14" s="8">
        <v>2</v>
      </c>
      <c r="F14" s="8">
        <v>2</v>
      </c>
      <c r="G14" s="16">
        <v>2</v>
      </c>
      <c r="H14" s="46">
        <f t="shared" si="0"/>
        <v>24000</v>
      </c>
      <c r="I14" s="47">
        <v>100</v>
      </c>
      <c r="J14" s="13">
        <f>H14*(100-I14)/100</f>
        <v>0</v>
      </c>
    </row>
    <row r="15" spans="2:10" x14ac:dyDescent="0.45">
      <c r="B15" s="170"/>
      <c r="C15" s="171"/>
      <c r="D15" s="171"/>
      <c r="E15" s="26">
        <f t="shared" ref="E15:G15" si="2">SUM(E3:E14)</f>
        <v>18.75</v>
      </c>
      <c r="F15" s="26">
        <f t="shared" si="2"/>
        <v>18.75</v>
      </c>
      <c r="G15" s="32">
        <f t="shared" si="2"/>
        <v>18.75</v>
      </c>
      <c r="H15" s="52">
        <f>SUM(H3:H14)</f>
        <v>322800</v>
      </c>
      <c r="J15" s="51">
        <f>SUM(J3:J14)</f>
        <v>19080</v>
      </c>
    </row>
    <row r="16" spans="2:10" x14ac:dyDescent="0.45">
      <c r="B16" s="24" t="s">
        <v>23</v>
      </c>
      <c r="C16" s="167" t="s">
        <v>24</v>
      </c>
      <c r="D16" s="167"/>
      <c r="E16" s="18">
        <v>46296</v>
      </c>
      <c r="F16" s="18">
        <v>46327</v>
      </c>
      <c r="G16" s="18">
        <v>46357</v>
      </c>
      <c r="H16" s="33" t="s">
        <v>4</v>
      </c>
    </row>
    <row r="17" spans="2:8" x14ac:dyDescent="0.45">
      <c r="B17" s="28" t="s">
        <v>25</v>
      </c>
      <c r="C17" s="168" t="s">
        <v>26</v>
      </c>
      <c r="D17" s="168"/>
      <c r="E17" s="6">
        <v>100</v>
      </c>
      <c r="F17" s="6">
        <v>100</v>
      </c>
      <c r="G17" s="31">
        <v>100</v>
      </c>
      <c r="H17" s="34">
        <f>SUM(E17:G17)</f>
        <v>300</v>
      </c>
    </row>
    <row r="18" spans="2:8" x14ac:dyDescent="0.45">
      <c r="B18" s="19" t="s">
        <v>27</v>
      </c>
      <c r="C18" s="172" t="s">
        <v>28</v>
      </c>
      <c r="D18" s="172"/>
      <c r="E18" s="4">
        <v>100</v>
      </c>
      <c r="F18" s="4">
        <v>100</v>
      </c>
      <c r="G18" s="14">
        <v>100</v>
      </c>
      <c r="H18" s="35">
        <f>SUM(E18:G18)</f>
        <v>300</v>
      </c>
    </row>
    <row r="19" spans="2:8" x14ac:dyDescent="0.45">
      <c r="B19" s="19" t="s">
        <v>41</v>
      </c>
      <c r="C19" s="172" t="s">
        <v>26</v>
      </c>
      <c r="D19" s="172"/>
      <c r="E19" s="4">
        <v>50</v>
      </c>
      <c r="F19" s="4">
        <v>50</v>
      </c>
      <c r="G19" s="14">
        <v>50</v>
      </c>
      <c r="H19" s="35">
        <f>SUM(E19:G19)</f>
        <v>150</v>
      </c>
    </row>
    <row r="20" spans="2:8" ht="16.5" customHeight="1" x14ac:dyDescent="0.45">
      <c r="B20" s="21" t="s">
        <v>42</v>
      </c>
      <c r="C20" s="169" t="s">
        <v>28</v>
      </c>
      <c r="D20" s="169"/>
      <c r="E20" s="8">
        <v>50</v>
      </c>
      <c r="F20" s="8">
        <v>50</v>
      </c>
      <c r="G20" s="16">
        <v>50</v>
      </c>
      <c r="H20" s="36">
        <f>SUM(E20:G20)</f>
        <v>150</v>
      </c>
    </row>
    <row r="21" spans="2:8" x14ac:dyDescent="0.45">
      <c r="B21" s="170"/>
      <c r="C21" s="171"/>
      <c r="D21" s="171"/>
      <c r="E21" s="26">
        <f t="shared" ref="E21:G21" si="3">SUM(E17:E18)</f>
        <v>200</v>
      </c>
      <c r="F21" s="26">
        <f t="shared" si="3"/>
        <v>200</v>
      </c>
      <c r="G21" s="32">
        <f t="shared" si="3"/>
        <v>200</v>
      </c>
      <c r="H21" s="37">
        <f>SUM(H17:H20)</f>
        <v>900</v>
      </c>
    </row>
    <row r="22" spans="2:8" x14ac:dyDescent="0.45">
      <c r="B22" s="164" t="s">
        <v>29</v>
      </c>
      <c r="C22" s="165"/>
      <c r="D22" s="165"/>
      <c r="E22" s="165"/>
      <c r="F22" s="165"/>
      <c r="G22" s="166"/>
      <c r="H22" s="50">
        <f>J15+H21</f>
        <v>19980</v>
      </c>
    </row>
    <row r="24" spans="2:8" x14ac:dyDescent="0.45">
      <c r="B24" s="164" t="s">
        <v>30</v>
      </c>
      <c r="C24" s="165"/>
      <c r="D24" s="165"/>
      <c r="E24" s="165"/>
      <c r="F24" s="165"/>
      <c r="G24" s="166"/>
      <c r="H24" s="50">
        <f>H22/3</f>
        <v>6660</v>
      </c>
    </row>
  </sheetData>
  <mergeCells count="10">
    <mergeCell ref="B1:J1"/>
    <mergeCell ref="C19:D19"/>
    <mergeCell ref="C20:D20"/>
    <mergeCell ref="B24:G24"/>
    <mergeCell ref="B15:D15"/>
    <mergeCell ref="C16:D16"/>
    <mergeCell ref="C17:D17"/>
    <mergeCell ref="C18:D18"/>
    <mergeCell ref="B21:D21"/>
    <mergeCell ref="B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/>
  </sheetViews>
  <sheetFormatPr defaultColWidth="11.59765625" defaultRowHeight="14.25" x14ac:dyDescent="0.45"/>
  <cols>
    <col min="1" max="1" width="3.53125" style="1" customWidth="1"/>
    <col min="2" max="2" width="30.1328125" style="1" customWidth="1"/>
    <col min="3" max="3" width="9.265625" style="1" customWidth="1"/>
    <col min="4" max="4" width="46.796875" style="1" customWidth="1"/>
    <col min="5" max="5" width="6.6640625" style="1" customWidth="1"/>
    <col min="6" max="6" width="6.265625" style="1" customWidth="1"/>
    <col min="7" max="7" width="6.59765625" style="1" customWidth="1"/>
    <col min="8" max="8" width="6.265625" style="1" customWidth="1"/>
    <col min="9" max="9" width="6.86328125" style="1" customWidth="1"/>
    <col min="10" max="10" width="6.6640625" style="1" customWidth="1"/>
    <col min="11" max="11" width="8.6640625" style="1" customWidth="1"/>
    <col min="12" max="12" width="9.73046875" style="1" customWidth="1"/>
    <col min="13" max="13" width="14" style="1" customWidth="1"/>
    <col min="14" max="16384" width="11.59765625" style="1"/>
  </cols>
  <sheetData>
    <row r="1" spans="2:13" x14ac:dyDescent="0.45">
      <c r="B1" s="173" t="s">
        <v>43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5"/>
    </row>
    <row r="2" spans="2:13" x14ac:dyDescent="0.45">
      <c r="B2" s="53" t="s">
        <v>1</v>
      </c>
      <c r="C2" s="54" t="s">
        <v>2</v>
      </c>
      <c r="D2" s="54" t="s">
        <v>3</v>
      </c>
      <c r="E2" s="55">
        <v>46388</v>
      </c>
      <c r="F2" s="55">
        <v>46419</v>
      </c>
      <c r="G2" s="55">
        <v>46447</v>
      </c>
      <c r="H2" s="55">
        <v>46478</v>
      </c>
      <c r="I2" s="55">
        <v>46508</v>
      </c>
      <c r="J2" s="55">
        <v>46539</v>
      </c>
      <c r="K2" s="56" t="s">
        <v>4</v>
      </c>
      <c r="L2" s="57" t="s">
        <v>32</v>
      </c>
      <c r="M2" s="58" t="s">
        <v>5</v>
      </c>
    </row>
    <row r="3" spans="2:13" x14ac:dyDescent="0.45">
      <c r="B3" s="28" t="s">
        <v>6</v>
      </c>
      <c r="C3" s="6">
        <v>200</v>
      </c>
      <c r="D3" s="5" t="s">
        <v>7</v>
      </c>
      <c r="E3" s="6">
        <v>0.25</v>
      </c>
      <c r="F3" s="6">
        <v>0.25</v>
      </c>
      <c r="G3" s="6">
        <v>0.25</v>
      </c>
      <c r="H3" s="6">
        <v>0.25</v>
      </c>
      <c r="I3" s="6">
        <v>0.25</v>
      </c>
      <c r="J3" s="31">
        <v>0.25</v>
      </c>
      <c r="K3" s="40">
        <f t="shared" ref="K3:K14" si="0">SUM(E3:J3)*C3*160</f>
        <v>48000</v>
      </c>
      <c r="L3" s="41">
        <v>100</v>
      </c>
      <c r="M3" s="11">
        <f>K3*(100-L3)/100</f>
        <v>0</v>
      </c>
    </row>
    <row r="4" spans="2:13" x14ac:dyDescent="0.45">
      <c r="B4" s="19" t="s">
        <v>8</v>
      </c>
      <c r="C4" s="4">
        <v>75</v>
      </c>
      <c r="D4" s="3" t="s">
        <v>7</v>
      </c>
      <c r="E4" s="4">
        <v>0.5</v>
      </c>
      <c r="F4" s="4">
        <v>0.5</v>
      </c>
      <c r="G4" s="4">
        <v>0.5</v>
      </c>
      <c r="H4" s="4">
        <v>0.5</v>
      </c>
      <c r="I4" s="4">
        <v>0.5</v>
      </c>
      <c r="J4" s="14">
        <v>0.5</v>
      </c>
      <c r="K4" s="42">
        <f t="shared" si="0"/>
        <v>36000</v>
      </c>
      <c r="L4" s="43">
        <v>90</v>
      </c>
      <c r="M4" s="12">
        <f>K4*(100-L4)/100</f>
        <v>3600</v>
      </c>
    </row>
    <row r="5" spans="2:13" x14ac:dyDescent="0.45">
      <c r="B5" s="19" t="s">
        <v>33</v>
      </c>
      <c r="C5" s="4">
        <v>40</v>
      </c>
      <c r="D5" s="3" t="s">
        <v>34</v>
      </c>
      <c r="E5" s="4">
        <v>4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2">
        <f t="shared" si="0"/>
        <v>153600</v>
      </c>
      <c r="L5" s="43">
        <v>90</v>
      </c>
      <c r="M5" s="12">
        <f t="shared" ref="M5:M13" si="1">K5*(100-L5)/100</f>
        <v>15360</v>
      </c>
    </row>
    <row r="6" spans="2:13" x14ac:dyDescent="0.45">
      <c r="B6" s="19" t="s">
        <v>11</v>
      </c>
      <c r="C6" s="4">
        <v>25</v>
      </c>
      <c r="D6" s="3" t="s">
        <v>12</v>
      </c>
      <c r="E6" s="4">
        <v>4</v>
      </c>
      <c r="F6" s="4">
        <v>4</v>
      </c>
      <c r="G6" s="4">
        <v>4</v>
      </c>
      <c r="H6" s="4">
        <v>4</v>
      </c>
      <c r="I6" s="4">
        <v>4</v>
      </c>
      <c r="J6" s="4">
        <v>4</v>
      </c>
      <c r="K6" s="42">
        <f t="shared" si="0"/>
        <v>96000</v>
      </c>
      <c r="L6" s="43">
        <v>100</v>
      </c>
      <c r="M6" s="12">
        <f t="shared" si="1"/>
        <v>0</v>
      </c>
    </row>
    <row r="7" spans="2:13" x14ac:dyDescent="0.45">
      <c r="B7" s="19" t="s">
        <v>35</v>
      </c>
      <c r="C7" s="4">
        <v>40</v>
      </c>
      <c r="D7" s="3" t="s">
        <v>14</v>
      </c>
      <c r="E7" s="4">
        <v>4</v>
      </c>
      <c r="F7" s="4">
        <v>4</v>
      </c>
      <c r="G7" s="4">
        <v>4</v>
      </c>
      <c r="H7" s="4">
        <v>4</v>
      </c>
      <c r="I7" s="4">
        <v>4</v>
      </c>
      <c r="J7" s="4">
        <v>4</v>
      </c>
      <c r="K7" s="42">
        <f t="shared" si="0"/>
        <v>153600</v>
      </c>
      <c r="L7" s="43">
        <v>90</v>
      </c>
      <c r="M7" s="12">
        <f t="shared" si="1"/>
        <v>15360</v>
      </c>
    </row>
    <row r="8" spans="2:13" x14ac:dyDescent="0.45">
      <c r="B8" s="19" t="s">
        <v>13</v>
      </c>
      <c r="C8" s="4">
        <v>25</v>
      </c>
      <c r="D8" s="3" t="s">
        <v>14</v>
      </c>
      <c r="E8" s="4">
        <v>4</v>
      </c>
      <c r="F8" s="4">
        <v>4</v>
      </c>
      <c r="G8" s="4">
        <v>4</v>
      </c>
      <c r="H8" s="4">
        <v>4</v>
      </c>
      <c r="I8" s="4">
        <v>4</v>
      </c>
      <c r="J8" s="4">
        <v>4</v>
      </c>
      <c r="K8" s="42">
        <f t="shared" si="0"/>
        <v>96000</v>
      </c>
      <c r="L8" s="43">
        <v>100</v>
      </c>
      <c r="M8" s="12">
        <f t="shared" si="1"/>
        <v>0</v>
      </c>
    </row>
    <row r="9" spans="2:13" x14ac:dyDescent="0.45">
      <c r="B9" s="19" t="s">
        <v>36</v>
      </c>
      <c r="C9" s="4">
        <v>40</v>
      </c>
      <c r="D9" s="3" t="s">
        <v>16</v>
      </c>
      <c r="E9" s="4">
        <v>4</v>
      </c>
      <c r="F9" s="4">
        <v>4</v>
      </c>
      <c r="G9" s="4">
        <v>4</v>
      </c>
      <c r="H9" s="4">
        <v>4</v>
      </c>
      <c r="I9" s="4">
        <v>4</v>
      </c>
      <c r="J9" s="4">
        <v>4</v>
      </c>
      <c r="K9" s="42">
        <f t="shared" si="0"/>
        <v>153600</v>
      </c>
      <c r="L9" s="43">
        <v>90</v>
      </c>
      <c r="M9" s="12">
        <f t="shared" si="1"/>
        <v>15360</v>
      </c>
    </row>
    <row r="10" spans="2:13" x14ac:dyDescent="0.45">
      <c r="B10" s="19" t="s">
        <v>15</v>
      </c>
      <c r="C10" s="4">
        <v>25</v>
      </c>
      <c r="D10" s="3" t="s">
        <v>16</v>
      </c>
      <c r="E10" s="4">
        <v>4</v>
      </c>
      <c r="F10" s="4">
        <v>4</v>
      </c>
      <c r="G10" s="4">
        <v>4</v>
      </c>
      <c r="H10" s="4">
        <v>4</v>
      </c>
      <c r="I10" s="4">
        <v>4</v>
      </c>
      <c r="J10" s="4">
        <v>4</v>
      </c>
      <c r="K10" s="42">
        <f t="shared" si="0"/>
        <v>96000</v>
      </c>
      <c r="L10" s="43">
        <v>100</v>
      </c>
      <c r="M10" s="12">
        <f t="shared" si="1"/>
        <v>0</v>
      </c>
    </row>
    <row r="11" spans="2:13" x14ac:dyDescent="0.45">
      <c r="B11" s="19" t="s">
        <v>37</v>
      </c>
      <c r="C11" s="4">
        <v>40</v>
      </c>
      <c r="D11" s="3" t="s">
        <v>38</v>
      </c>
      <c r="E11" s="4">
        <v>2</v>
      </c>
      <c r="F11" s="4">
        <v>2</v>
      </c>
      <c r="G11" s="4">
        <v>2</v>
      </c>
      <c r="H11" s="4">
        <v>2</v>
      </c>
      <c r="I11" s="4">
        <v>2</v>
      </c>
      <c r="J11" s="4">
        <v>2</v>
      </c>
      <c r="K11" s="42">
        <f t="shared" si="0"/>
        <v>76800</v>
      </c>
      <c r="L11" s="43">
        <v>90</v>
      </c>
      <c r="M11" s="12">
        <f t="shared" si="1"/>
        <v>7680</v>
      </c>
    </row>
    <row r="12" spans="2:13" x14ac:dyDescent="0.45">
      <c r="B12" s="19" t="s">
        <v>39</v>
      </c>
      <c r="C12" s="4">
        <v>25</v>
      </c>
      <c r="D12" s="3" t="s">
        <v>38</v>
      </c>
      <c r="E12" s="4">
        <v>2</v>
      </c>
      <c r="F12" s="4">
        <v>2</v>
      </c>
      <c r="G12" s="4">
        <v>2</v>
      </c>
      <c r="H12" s="4">
        <v>2</v>
      </c>
      <c r="I12" s="4">
        <v>2</v>
      </c>
      <c r="J12" s="4">
        <v>2</v>
      </c>
      <c r="K12" s="42">
        <f t="shared" si="0"/>
        <v>48000</v>
      </c>
      <c r="L12" s="43">
        <v>100</v>
      </c>
      <c r="M12" s="12">
        <f t="shared" si="1"/>
        <v>0</v>
      </c>
    </row>
    <row r="13" spans="2:13" x14ac:dyDescent="0.45">
      <c r="B13" s="23" t="s">
        <v>40</v>
      </c>
      <c r="C13" s="10">
        <v>40</v>
      </c>
      <c r="D13" s="9" t="s">
        <v>22</v>
      </c>
      <c r="E13" s="10">
        <v>4</v>
      </c>
      <c r="F13" s="10">
        <v>4</v>
      </c>
      <c r="G13" s="10">
        <v>4</v>
      </c>
      <c r="H13" s="10">
        <v>4</v>
      </c>
      <c r="I13" s="10">
        <v>4</v>
      </c>
      <c r="J13" s="10">
        <v>4</v>
      </c>
      <c r="K13" s="44">
        <f t="shared" si="0"/>
        <v>153600</v>
      </c>
      <c r="L13" s="45">
        <v>90</v>
      </c>
      <c r="M13" s="12">
        <f t="shared" si="1"/>
        <v>15360</v>
      </c>
    </row>
    <row r="14" spans="2:13" x14ac:dyDescent="0.45">
      <c r="B14" s="21" t="s">
        <v>21</v>
      </c>
      <c r="C14" s="8">
        <v>25</v>
      </c>
      <c r="D14" s="7" t="s">
        <v>22</v>
      </c>
      <c r="E14" s="8">
        <v>4</v>
      </c>
      <c r="F14" s="8">
        <v>4</v>
      </c>
      <c r="G14" s="8">
        <v>4</v>
      </c>
      <c r="H14" s="8">
        <v>4</v>
      </c>
      <c r="I14" s="8">
        <v>4</v>
      </c>
      <c r="J14" s="8">
        <v>4</v>
      </c>
      <c r="K14" s="46">
        <f t="shared" si="0"/>
        <v>96000</v>
      </c>
      <c r="L14" s="47">
        <v>100</v>
      </c>
      <c r="M14" s="13">
        <f>K14*(100-L14)/100</f>
        <v>0</v>
      </c>
    </row>
    <row r="15" spans="2:13" x14ac:dyDescent="0.45">
      <c r="B15" s="170"/>
      <c r="C15" s="171"/>
      <c r="D15" s="171"/>
      <c r="E15" s="26">
        <f t="shared" ref="E15:J15" si="2">SUM(E3:E14)</f>
        <v>36.75</v>
      </c>
      <c r="F15" s="26">
        <f t="shared" ref="F15:H15" si="3">SUM(F3:F14)</f>
        <v>36.75</v>
      </c>
      <c r="G15" s="26">
        <f t="shared" si="3"/>
        <v>36.75</v>
      </c>
      <c r="H15" s="26">
        <f t="shared" si="3"/>
        <v>36.75</v>
      </c>
      <c r="I15" s="26">
        <f t="shared" si="2"/>
        <v>36.75</v>
      </c>
      <c r="J15" s="32">
        <f t="shared" si="2"/>
        <v>36.75</v>
      </c>
      <c r="K15" s="59">
        <f>SUM(K3:K14)</f>
        <v>1207200</v>
      </c>
      <c r="M15" s="60">
        <f>SUM(M3:M14)</f>
        <v>72720</v>
      </c>
    </row>
    <row r="16" spans="2:13" x14ac:dyDescent="0.45">
      <c r="B16" s="53" t="s">
        <v>23</v>
      </c>
      <c r="C16" s="176" t="s">
        <v>24</v>
      </c>
      <c r="D16" s="176"/>
      <c r="E16" s="55">
        <v>46388</v>
      </c>
      <c r="F16" s="55">
        <v>46419</v>
      </c>
      <c r="G16" s="55">
        <v>46447</v>
      </c>
      <c r="H16" s="55">
        <v>46478</v>
      </c>
      <c r="I16" s="55">
        <v>46508</v>
      </c>
      <c r="J16" s="55">
        <v>46539</v>
      </c>
      <c r="K16" s="56" t="s">
        <v>4</v>
      </c>
    </row>
    <row r="17" spans="1:13" x14ac:dyDescent="0.45">
      <c r="B17" s="28" t="s">
        <v>25</v>
      </c>
      <c r="C17" s="168" t="s">
        <v>26</v>
      </c>
      <c r="D17" s="168"/>
      <c r="E17" s="6">
        <v>200</v>
      </c>
      <c r="F17" s="6">
        <v>200</v>
      </c>
      <c r="G17" s="6">
        <v>200</v>
      </c>
      <c r="H17" s="6">
        <v>200</v>
      </c>
      <c r="I17" s="6">
        <v>200</v>
      </c>
      <c r="J17" s="31">
        <v>200</v>
      </c>
      <c r="K17" s="40">
        <f>SUM(E17:J17)</f>
        <v>1200</v>
      </c>
    </row>
    <row r="18" spans="1:13" x14ac:dyDescent="0.45">
      <c r="B18" s="19" t="s">
        <v>27</v>
      </c>
      <c r="C18" s="172" t="s">
        <v>28</v>
      </c>
      <c r="D18" s="172"/>
      <c r="E18" s="4">
        <v>200</v>
      </c>
      <c r="F18" s="4">
        <v>200</v>
      </c>
      <c r="G18" s="4">
        <v>200</v>
      </c>
      <c r="H18" s="4">
        <v>200</v>
      </c>
      <c r="I18" s="4">
        <v>200</v>
      </c>
      <c r="J18" s="14">
        <v>200</v>
      </c>
      <c r="K18" s="42">
        <f>SUM(E18:J18)</f>
        <v>1200</v>
      </c>
    </row>
    <row r="19" spans="1:13" x14ac:dyDescent="0.45">
      <c r="B19" s="19" t="s">
        <v>44</v>
      </c>
      <c r="C19" s="172" t="s">
        <v>26</v>
      </c>
      <c r="D19" s="172"/>
      <c r="E19" s="4">
        <v>500</v>
      </c>
      <c r="F19" s="4">
        <v>500</v>
      </c>
      <c r="G19" s="4">
        <v>500</v>
      </c>
      <c r="H19" s="4">
        <v>500</v>
      </c>
      <c r="I19" s="4">
        <v>500</v>
      </c>
      <c r="J19" s="14">
        <v>500</v>
      </c>
      <c r="K19" s="42">
        <f>SUM(E19:J19)</f>
        <v>3000</v>
      </c>
    </row>
    <row r="20" spans="1:13" x14ac:dyDescent="0.45">
      <c r="B20" s="21" t="s">
        <v>45</v>
      </c>
      <c r="C20" s="169" t="s">
        <v>28</v>
      </c>
      <c r="D20" s="169"/>
      <c r="E20" s="8">
        <v>500</v>
      </c>
      <c r="F20" s="8">
        <v>500</v>
      </c>
      <c r="G20" s="8">
        <v>500</v>
      </c>
      <c r="H20" s="8">
        <v>500</v>
      </c>
      <c r="I20" s="8">
        <v>500</v>
      </c>
      <c r="J20" s="16">
        <v>500</v>
      </c>
      <c r="K20" s="46">
        <f>SUM(E20:J20)</f>
        <v>3000</v>
      </c>
    </row>
    <row r="21" spans="1:13" x14ac:dyDescent="0.45">
      <c r="B21" s="170"/>
      <c r="C21" s="171"/>
      <c r="D21" s="171"/>
      <c r="E21" s="48">
        <f>SUM(E17:E20)</f>
        <v>1400</v>
      </c>
      <c r="F21" s="48">
        <f t="shared" ref="F21:J21" si="4">SUM(F17:F20)</f>
        <v>1400</v>
      </c>
      <c r="G21" s="48">
        <f t="shared" si="4"/>
        <v>1400</v>
      </c>
      <c r="H21" s="48">
        <f t="shared" si="4"/>
        <v>1400</v>
      </c>
      <c r="I21" s="48">
        <f t="shared" si="4"/>
        <v>1400</v>
      </c>
      <c r="J21" s="48">
        <f t="shared" si="4"/>
        <v>1400</v>
      </c>
      <c r="K21" s="59">
        <f>SUM(K17:K20)</f>
        <v>8400</v>
      </c>
    </row>
    <row r="22" spans="1:13" x14ac:dyDescent="0.45">
      <c r="B22" s="178" t="s">
        <v>29</v>
      </c>
      <c r="C22" s="179"/>
      <c r="D22" s="179"/>
      <c r="E22" s="179"/>
      <c r="F22" s="179"/>
      <c r="G22" s="179"/>
      <c r="H22" s="179"/>
      <c r="I22" s="179"/>
      <c r="J22" s="180"/>
      <c r="K22" s="61">
        <f>M15+K21</f>
        <v>81120</v>
      </c>
    </row>
    <row r="24" spans="1:13" x14ac:dyDescent="0.45">
      <c r="B24" s="181" t="s">
        <v>46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1:13" x14ac:dyDescent="0.45">
      <c r="A25"/>
      <c r="B25" s="62" t="s">
        <v>47</v>
      </c>
      <c r="C25" s="62" t="s">
        <v>2</v>
      </c>
      <c r="D25" s="62" t="s">
        <v>48</v>
      </c>
      <c r="E25" s="63">
        <v>46388</v>
      </c>
      <c r="F25" s="63">
        <v>46419</v>
      </c>
      <c r="G25" s="63">
        <v>46447</v>
      </c>
      <c r="H25" s="63">
        <v>46478</v>
      </c>
      <c r="I25" s="63">
        <v>46508</v>
      </c>
      <c r="J25" s="63">
        <v>46539</v>
      </c>
      <c r="K25" s="62" t="s">
        <v>4</v>
      </c>
      <c r="L25" s="62" t="s">
        <v>32</v>
      </c>
      <c r="M25" s="62" t="s">
        <v>5</v>
      </c>
    </row>
    <row r="26" spans="1:13" x14ac:dyDescent="0.45">
      <c r="A26"/>
      <c r="B26" s="64" t="s">
        <v>49</v>
      </c>
      <c r="C26" s="65">
        <v>40</v>
      </c>
      <c r="D26" s="66" t="s">
        <v>50</v>
      </c>
      <c r="E26" s="67">
        <v>1</v>
      </c>
      <c r="F26" s="67">
        <v>1</v>
      </c>
      <c r="G26" s="67">
        <v>1</v>
      </c>
      <c r="H26" s="67">
        <v>1</v>
      </c>
      <c r="I26" s="67">
        <v>1</v>
      </c>
      <c r="J26" s="67">
        <v>1</v>
      </c>
      <c r="K26" s="68">
        <f>SUM(E26:J26)*C26*160</f>
        <v>38400</v>
      </c>
      <c r="L26" s="69">
        <v>90</v>
      </c>
      <c r="M26" s="68">
        <f>K26*(1-L26/100)</f>
        <v>3839.9999999999991</v>
      </c>
    </row>
    <row r="27" spans="1:13" x14ac:dyDescent="0.45">
      <c r="A27"/>
      <c r="B27" s="66" t="s">
        <v>51</v>
      </c>
      <c r="C27" s="65">
        <v>25</v>
      </c>
      <c r="D27" s="66" t="s">
        <v>52</v>
      </c>
      <c r="E27" s="67">
        <v>1</v>
      </c>
      <c r="F27" s="67">
        <v>1</v>
      </c>
      <c r="G27" s="67">
        <v>1</v>
      </c>
      <c r="H27" s="67">
        <v>1</v>
      </c>
      <c r="I27" s="67">
        <v>1</v>
      </c>
      <c r="J27" s="67">
        <v>1</v>
      </c>
      <c r="K27" s="68">
        <f>SUM(E27:J27)*C27*160</f>
        <v>24000</v>
      </c>
      <c r="L27" s="69">
        <v>90</v>
      </c>
      <c r="M27" s="68">
        <f>K27*(1-L27/100)</f>
        <v>2399.9999999999995</v>
      </c>
    </row>
    <row r="28" spans="1:13" x14ac:dyDescent="0.45">
      <c r="A28"/>
      <c r="B28" s="64" t="s">
        <v>53</v>
      </c>
      <c r="C28" s="65">
        <v>25</v>
      </c>
      <c r="D28" s="66" t="s">
        <v>54</v>
      </c>
      <c r="E28" s="67">
        <v>1</v>
      </c>
      <c r="F28" s="67">
        <v>1</v>
      </c>
      <c r="G28" s="67">
        <v>1</v>
      </c>
      <c r="H28" s="67">
        <v>1</v>
      </c>
      <c r="I28" s="67">
        <v>1</v>
      </c>
      <c r="J28" s="67">
        <v>1</v>
      </c>
      <c r="K28" s="68">
        <f>SUM(E28:J28)*C28*160</f>
        <v>24000</v>
      </c>
      <c r="L28" s="69">
        <v>90</v>
      </c>
      <c r="M28" s="68">
        <f>K28*(1-L28/100)</f>
        <v>2399.9999999999995</v>
      </c>
    </row>
    <row r="29" spans="1:13" x14ac:dyDescent="0.45">
      <c r="A29"/>
      <c r="B29" s="64" t="s">
        <v>55</v>
      </c>
      <c r="C29" s="65">
        <v>25</v>
      </c>
      <c r="D29" s="66" t="s">
        <v>56</v>
      </c>
      <c r="E29" s="67">
        <v>0</v>
      </c>
      <c r="F29" s="67">
        <v>0</v>
      </c>
      <c r="G29" s="67">
        <v>0.5</v>
      </c>
      <c r="H29" s="67">
        <v>0.5</v>
      </c>
      <c r="I29" s="67">
        <v>0.5</v>
      </c>
      <c r="J29" s="67">
        <v>0.5</v>
      </c>
      <c r="K29" s="68">
        <f>SUM(E29:J29)*C29*160</f>
        <v>8000</v>
      </c>
      <c r="L29" s="69">
        <v>90</v>
      </c>
      <c r="M29" s="68">
        <f>K29*(1-L29/100)</f>
        <v>799.99999999999977</v>
      </c>
    </row>
    <row r="30" spans="1:13" x14ac:dyDescent="0.45">
      <c r="A30"/>
      <c r="B30" s="64" t="s">
        <v>57</v>
      </c>
      <c r="C30" s="65">
        <v>25</v>
      </c>
      <c r="D30" s="66" t="s">
        <v>58</v>
      </c>
      <c r="E30" s="67">
        <v>0</v>
      </c>
      <c r="F30" s="67">
        <v>0</v>
      </c>
      <c r="G30" s="67">
        <v>0.5</v>
      </c>
      <c r="H30" s="67">
        <v>0.5</v>
      </c>
      <c r="I30" s="67">
        <v>0.5</v>
      </c>
      <c r="J30" s="67">
        <v>0.5</v>
      </c>
      <c r="K30" s="68">
        <f>SUM(E30:J30)*C30*160</f>
        <v>8000</v>
      </c>
      <c r="L30" s="69">
        <v>90</v>
      </c>
      <c r="M30" s="68">
        <f>K30*(1-L30/100)</f>
        <v>799.99999999999977</v>
      </c>
    </row>
    <row r="31" spans="1:13" x14ac:dyDescent="0.45">
      <c r="A31"/>
      <c r="B31" s="70" t="s">
        <v>59</v>
      </c>
      <c r="C31" s="71"/>
      <c r="D31" s="70"/>
      <c r="E31" s="72"/>
      <c r="F31" s="72"/>
      <c r="G31" s="72"/>
      <c r="H31" s="72"/>
      <c r="I31" s="72"/>
      <c r="J31" s="72"/>
      <c r="K31" s="73">
        <f>SUM(K26:K30)</f>
        <v>102400</v>
      </c>
      <c r="L31" s="74"/>
      <c r="M31" s="73">
        <f>SUM(M26:M30)</f>
        <v>10239.999999999998</v>
      </c>
    </row>
    <row r="32" spans="1:13" x14ac:dyDescent="0.45">
      <c r="A32"/>
      <c r="B32" s="64" t="s">
        <v>60</v>
      </c>
      <c r="C32" s="65"/>
      <c r="D32" s="64" t="s">
        <v>61</v>
      </c>
      <c r="E32" s="67">
        <v>0</v>
      </c>
      <c r="F32" s="67">
        <v>0</v>
      </c>
      <c r="G32" s="67">
        <v>250</v>
      </c>
      <c r="H32" s="67">
        <v>250</v>
      </c>
      <c r="I32" s="67">
        <v>750</v>
      </c>
      <c r="J32" s="67">
        <v>750</v>
      </c>
      <c r="K32" s="68">
        <f t="shared" ref="K32:K37" si="5">SUM(E32:J32)</f>
        <v>2000</v>
      </c>
      <c r="L32" s="69">
        <v>0</v>
      </c>
      <c r="M32" s="68">
        <f t="shared" ref="M32:M37" si="6">K32*(1-L32/100)</f>
        <v>2000</v>
      </c>
    </row>
    <row r="33" spans="1:13" x14ac:dyDescent="0.45">
      <c r="A33"/>
      <c r="B33" s="66" t="s">
        <v>62</v>
      </c>
      <c r="C33" s="65"/>
      <c r="D33" s="64" t="s">
        <v>63</v>
      </c>
      <c r="E33" s="67">
        <v>0</v>
      </c>
      <c r="F33" s="67">
        <v>0</v>
      </c>
      <c r="G33" s="67">
        <v>200</v>
      </c>
      <c r="H33" s="67">
        <v>200</v>
      </c>
      <c r="I33" s="67">
        <v>600</v>
      </c>
      <c r="J33" s="67">
        <v>600</v>
      </c>
      <c r="K33" s="68">
        <f t="shared" si="5"/>
        <v>1600</v>
      </c>
      <c r="L33" s="69">
        <v>0</v>
      </c>
      <c r="M33" s="68">
        <f t="shared" si="6"/>
        <v>1600</v>
      </c>
    </row>
    <row r="34" spans="1:13" x14ac:dyDescent="0.45">
      <c r="A34"/>
      <c r="B34" s="64" t="s">
        <v>64</v>
      </c>
      <c r="C34" s="65"/>
      <c r="D34" s="64" t="s">
        <v>65</v>
      </c>
      <c r="E34" s="67">
        <v>0</v>
      </c>
      <c r="F34" s="67">
        <v>0</v>
      </c>
      <c r="G34" s="67">
        <v>100</v>
      </c>
      <c r="H34" s="67">
        <v>100</v>
      </c>
      <c r="I34" s="67">
        <v>500</v>
      </c>
      <c r="J34" s="67">
        <v>500</v>
      </c>
      <c r="K34" s="68">
        <f t="shared" si="5"/>
        <v>1200</v>
      </c>
      <c r="L34" s="69">
        <v>0</v>
      </c>
      <c r="M34" s="68">
        <f t="shared" si="6"/>
        <v>1200</v>
      </c>
    </row>
    <row r="35" spans="1:13" x14ac:dyDescent="0.45">
      <c r="A35"/>
      <c r="B35" s="64" t="s">
        <v>66</v>
      </c>
      <c r="C35" s="65"/>
      <c r="D35" s="64" t="s">
        <v>67</v>
      </c>
      <c r="E35" s="67">
        <v>0</v>
      </c>
      <c r="F35" s="67">
        <v>0</v>
      </c>
      <c r="G35" s="67">
        <v>0</v>
      </c>
      <c r="H35" s="67">
        <v>0</v>
      </c>
      <c r="I35" s="67">
        <v>400</v>
      </c>
      <c r="J35" s="67">
        <v>400</v>
      </c>
      <c r="K35" s="68">
        <f t="shared" si="5"/>
        <v>800</v>
      </c>
      <c r="L35" s="69">
        <v>0</v>
      </c>
      <c r="M35" s="68">
        <f t="shared" si="6"/>
        <v>800</v>
      </c>
    </row>
    <row r="36" spans="1:13" x14ac:dyDescent="0.45">
      <c r="A36"/>
      <c r="B36" s="66" t="s">
        <v>68</v>
      </c>
      <c r="C36" s="65"/>
      <c r="D36" s="66" t="s">
        <v>69</v>
      </c>
      <c r="E36" s="67">
        <v>50</v>
      </c>
      <c r="F36" s="67">
        <v>50</v>
      </c>
      <c r="G36" s="67">
        <v>100</v>
      </c>
      <c r="H36" s="67">
        <v>100</v>
      </c>
      <c r="I36" s="67">
        <v>200</v>
      </c>
      <c r="J36" s="67">
        <v>200</v>
      </c>
      <c r="K36" s="68">
        <f t="shared" si="5"/>
        <v>700</v>
      </c>
      <c r="L36" s="69">
        <v>0</v>
      </c>
      <c r="M36" s="68">
        <f t="shared" si="6"/>
        <v>700</v>
      </c>
    </row>
    <row r="37" spans="1:13" x14ac:dyDescent="0.45">
      <c r="A37"/>
      <c r="B37" s="64" t="s">
        <v>70</v>
      </c>
      <c r="C37" s="65"/>
      <c r="D37" s="64" t="s">
        <v>71</v>
      </c>
      <c r="E37" s="67">
        <v>0</v>
      </c>
      <c r="F37" s="67">
        <v>0</v>
      </c>
      <c r="G37" s="67">
        <v>300</v>
      </c>
      <c r="H37" s="67">
        <v>300</v>
      </c>
      <c r="I37" s="67">
        <v>1500</v>
      </c>
      <c r="J37" s="67">
        <v>1500</v>
      </c>
      <c r="K37" s="68">
        <f t="shared" si="5"/>
        <v>3600</v>
      </c>
      <c r="L37" s="69">
        <v>0</v>
      </c>
      <c r="M37" s="68">
        <f t="shared" si="6"/>
        <v>3600</v>
      </c>
    </row>
    <row r="38" spans="1:13" x14ac:dyDescent="0.45">
      <c r="A38"/>
      <c r="B38" s="70" t="s">
        <v>72</v>
      </c>
      <c r="C38" s="71"/>
      <c r="D38" s="70"/>
      <c r="E38" s="72"/>
      <c r="F38" s="72"/>
      <c r="G38" s="72"/>
      <c r="H38" s="72"/>
      <c r="I38" s="72"/>
      <c r="J38" s="72"/>
      <c r="K38" s="73">
        <f>SUM(K32:K37)</f>
        <v>9900</v>
      </c>
      <c r="L38" s="74"/>
      <c r="M38" s="73">
        <f>SUM(M32:M37)</f>
        <v>9900</v>
      </c>
    </row>
    <row r="39" spans="1:13" x14ac:dyDescent="0.45">
      <c r="A39"/>
      <c r="B39" s="64" t="s">
        <v>73</v>
      </c>
      <c r="C39" s="65"/>
      <c r="D39" s="64" t="s">
        <v>74</v>
      </c>
      <c r="E39" s="67">
        <v>25</v>
      </c>
      <c r="F39" s="67">
        <v>25</v>
      </c>
      <c r="G39" s="67">
        <v>25</v>
      </c>
      <c r="H39" s="67">
        <v>25</v>
      </c>
      <c r="I39" s="67">
        <v>25</v>
      </c>
      <c r="J39" s="67">
        <v>25</v>
      </c>
      <c r="K39" s="68">
        <f>SUM(E39:J39)</f>
        <v>150</v>
      </c>
      <c r="L39" s="69">
        <v>0</v>
      </c>
      <c r="M39" s="68">
        <f>K39*(1-L39/100)</f>
        <v>150</v>
      </c>
    </row>
    <row r="40" spans="1:13" x14ac:dyDescent="0.45">
      <c r="A40"/>
      <c r="B40" s="66" t="s">
        <v>75</v>
      </c>
      <c r="C40" s="65"/>
      <c r="D40" s="64" t="s">
        <v>76</v>
      </c>
      <c r="E40" s="67">
        <v>20</v>
      </c>
      <c r="F40" s="67">
        <v>20</v>
      </c>
      <c r="G40" s="67">
        <v>20</v>
      </c>
      <c r="H40" s="67">
        <v>20</v>
      </c>
      <c r="I40" s="67">
        <v>20</v>
      </c>
      <c r="J40" s="67">
        <v>20</v>
      </c>
      <c r="K40" s="68">
        <f>SUM(E40:J40)</f>
        <v>120</v>
      </c>
      <c r="L40" s="69">
        <v>0</v>
      </c>
      <c r="M40" s="68">
        <f>K40*(1-L40/100)</f>
        <v>120</v>
      </c>
    </row>
    <row r="41" spans="1:13" x14ac:dyDescent="0.45">
      <c r="A41"/>
      <c r="B41" s="66" t="s">
        <v>77</v>
      </c>
      <c r="C41" s="65"/>
      <c r="D41" s="64" t="s">
        <v>78</v>
      </c>
      <c r="E41" s="67">
        <v>30</v>
      </c>
      <c r="F41" s="67">
        <v>30</v>
      </c>
      <c r="G41" s="67">
        <v>30</v>
      </c>
      <c r="H41" s="67">
        <v>30</v>
      </c>
      <c r="I41" s="67">
        <v>30</v>
      </c>
      <c r="J41" s="67">
        <v>30</v>
      </c>
      <c r="K41" s="68">
        <f>SUM(E41:J41)</f>
        <v>180</v>
      </c>
      <c r="L41" s="69">
        <v>0</v>
      </c>
      <c r="M41" s="68">
        <f>K41*(1-L41/100)</f>
        <v>180</v>
      </c>
    </row>
    <row r="42" spans="1:13" x14ac:dyDescent="0.45">
      <c r="A42"/>
      <c r="B42" s="66" t="s">
        <v>79</v>
      </c>
      <c r="C42" s="65"/>
      <c r="D42" s="64" t="s">
        <v>80</v>
      </c>
      <c r="E42" s="67">
        <v>50</v>
      </c>
      <c r="F42" s="67">
        <v>50</v>
      </c>
      <c r="G42" s="67">
        <v>50</v>
      </c>
      <c r="H42" s="67">
        <v>50</v>
      </c>
      <c r="I42" s="67">
        <v>50</v>
      </c>
      <c r="J42" s="67">
        <v>50</v>
      </c>
      <c r="K42" s="68">
        <f>SUM(E42:J42)</f>
        <v>300</v>
      </c>
      <c r="L42" s="69">
        <v>0</v>
      </c>
      <c r="M42" s="68">
        <f>K42*(1-L42/100)</f>
        <v>300</v>
      </c>
    </row>
    <row r="43" spans="1:13" x14ac:dyDescent="0.45">
      <c r="A43"/>
      <c r="B43" s="70" t="s">
        <v>81</v>
      </c>
      <c r="C43" s="71"/>
      <c r="D43" s="70"/>
      <c r="E43" s="72"/>
      <c r="F43" s="72"/>
      <c r="G43" s="72"/>
      <c r="H43" s="72"/>
      <c r="I43" s="72"/>
      <c r="J43" s="72"/>
      <c r="K43" s="73">
        <f>SUM(K39:K42)</f>
        <v>750</v>
      </c>
      <c r="L43" s="74"/>
      <c r="M43" s="73">
        <f>SUM(M39:M42)</f>
        <v>750</v>
      </c>
    </row>
    <row r="44" spans="1:13" x14ac:dyDescent="0.45">
      <c r="A44"/>
      <c r="B44" s="66" t="s">
        <v>82</v>
      </c>
      <c r="C44" s="65">
        <v>15</v>
      </c>
      <c r="D44" s="66" t="s">
        <v>83</v>
      </c>
      <c r="E44" s="67">
        <v>0.5</v>
      </c>
      <c r="F44" s="67">
        <v>0.5</v>
      </c>
      <c r="G44" s="67">
        <v>0.5</v>
      </c>
      <c r="H44" s="67">
        <v>0.5</v>
      </c>
      <c r="I44" s="67">
        <v>0.5</v>
      </c>
      <c r="J44" s="67">
        <v>0.5</v>
      </c>
      <c r="K44" s="68">
        <f>SUM(E44:J44)*C44*160</f>
        <v>7200</v>
      </c>
      <c r="L44" s="69">
        <v>90</v>
      </c>
      <c r="M44" s="68">
        <f t="shared" ref="M44:M51" si="7">K44*(1-L44/100)</f>
        <v>719.99999999999989</v>
      </c>
    </row>
    <row r="45" spans="1:13" x14ac:dyDescent="0.45">
      <c r="A45"/>
      <c r="B45" s="66" t="s">
        <v>84</v>
      </c>
      <c r="C45" s="65">
        <v>20</v>
      </c>
      <c r="D45" s="66" t="s">
        <v>85</v>
      </c>
      <c r="E45" s="67">
        <v>0.5</v>
      </c>
      <c r="F45" s="67">
        <v>0.5</v>
      </c>
      <c r="G45" s="67">
        <v>0.5</v>
      </c>
      <c r="H45" s="67">
        <v>0.5</v>
      </c>
      <c r="I45" s="67">
        <v>0.5</v>
      </c>
      <c r="J45" s="67">
        <v>0.5</v>
      </c>
      <c r="K45" s="68">
        <f>SUM(E45:J45)*C45*160</f>
        <v>9600</v>
      </c>
      <c r="L45" s="69">
        <v>90</v>
      </c>
      <c r="M45" s="68">
        <f t="shared" si="7"/>
        <v>959.99999999999977</v>
      </c>
    </row>
    <row r="46" spans="1:13" x14ac:dyDescent="0.45">
      <c r="A46"/>
      <c r="B46" s="64" t="s">
        <v>86</v>
      </c>
      <c r="C46" s="65"/>
      <c r="D46" s="66" t="s">
        <v>87</v>
      </c>
      <c r="E46" s="67">
        <v>4500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8">
        <f>SUM(E46:J46)</f>
        <v>4500</v>
      </c>
      <c r="L46" s="69">
        <v>0</v>
      </c>
      <c r="M46" s="68">
        <f t="shared" si="7"/>
        <v>4500</v>
      </c>
    </row>
    <row r="47" spans="1:13" x14ac:dyDescent="0.45">
      <c r="A47"/>
      <c r="B47" s="64" t="s">
        <v>88</v>
      </c>
      <c r="C47" s="65"/>
      <c r="D47" s="64" t="s">
        <v>89</v>
      </c>
      <c r="E47" s="67">
        <v>200</v>
      </c>
      <c r="F47" s="67">
        <v>200</v>
      </c>
      <c r="G47" s="67">
        <v>200</v>
      </c>
      <c r="H47" s="67">
        <v>200</v>
      </c>
      <c r="I47" s="67">
        <v>200</v>
      </c>
      <c r="J47" s="67">
        <v>200</v>
      </c>
      <c r="K47" s="68">
        <f>SUM(E47:J47)</f>
        <v>1200</v>
      </c>
      <c r="L47" s="69">
        <v>0</v>
      </c>
      <c r="M47" s="68">
        <f t="shared" si="7"/>
        <v>1200</v>
      </c>
    </row>
    <row r="48" spans="1:13" x14ac:dyDescent="0.45">
      <c r="A48"/>
      <c r="B48" s="66" t="s">
        <v>90</v>
      </c>
      <c r="C48" s="65"/>
      <c r="D48" s="66" t="s">
        <v>91</v>
      </c>
      <c r="E48" s="67">
        <v>0</v>
      </c>
      <c r="F48" s="67">
        <v>0</v>
      </c>
      <c r="G48" s="67">
        <v>0</v>
      </c>
      <c r="H48" s="67">
        <v>750</v>
      </c>
      <c r="I48" s="67">
        <v>750</v>
      </c>
      <c r="J48" s="67">
        <v>750</v>
      </c>
      <c r="K48" s="68">
        <f>SUM(E48:J48)</f>
        <v>2250</v>
      </c>
      <c r="L48" s="69">
        <v>0</v>
      </c>
      <c r="M48" s="68">
        <f t="shared" si="7"/>
        <v>2250</v>
      </c>
    </row>
    <row r="49" spans="1:13" x14ac:dyDescent="0.45">
      <c r="A49"/>
      <c r="B49" s="66" t="s">
        <v>92</v>
      </c>
      <c r="C49" s="65">
        <v>80</v>
      </c>
      <c r="D49" s="66" t="s">
        <v>93</v>
      </c>
      <c r="E49" s="67">
        <v>0.1</v>
      </c>
      <c r="F49" s="67">
        <v>0.1</v>
      </c>
      <c r="G49" s="67">
        <v>0.1</v>
      </c>
      <c r="H49" s="67">
        <v>0.1</v>
      </c>
      <c r="I49" s="67">
        <v>0.1</v>
      </c>
      <c r="J49" s="67">
        <v>0.1</v>
      </c>
      <c r="K49" s="68">
        <f>SUM(E49:J49)*C49*160</f>
        <v>7680</v>
      </c>
      <c r="L49" s="69">
        <v>50</v>
      </c>
      <c r="M49" s="68">
        <f t="shared" si="7"/>
        <v>3840</v>
      </c>
    </row>
    <row r="50" spans="1:13" x14ac:dyDescent="0.45">
      <c r="A50"/>
      <c r="B50" s="66" t="s">
        <v>94</v>
      </c>
      <c r="C50" s="65"/>
      <c r="D50" s="64" t="s">
        <v>95</v>
      </c>
      <c r="E50" s="67">
        <v>200</v>
      </c>
      <c r="F50" s="67">
        <v>0</v>
      </c>
      <c r="G50" s="67">
        <v>0</v>
      </c>
      <c r="H50" s="67">
        <v>0</v>
      </c>
      <c r="I50" s="67">
        <v>0</v>
      </c>
      <c r="J50" s="67">
        <v>0</v>
      </c>
      <c r="K50" s="68">
        <f>SUM(E50:J50)</f>
        <v>200</v>
      </c>
      <c r="L50" s="69">
        <v>0</v>
      </c>
      <c r="M50" s="68">
        <f t="shared" si="7"/>
        <v>200</v>
      </c>
    </row>
    <row r="51" spans="1:13" x14ac:dyDescent="0.45">
      <c r="A51"/>
      <c r="B51" s="64" t="s">
        <v>96</v>
      </c>
      <c r="C51" s="65"/>
      <c r="D51" s="64" t="s">
        <v>97</v>
      </c>
      <c r="E51" s="67">
        <v>150</v>
      </c>
      <c r="F51" s="67">
        <v>150</v>
      </c>
      <c r="G51" s="67">
        <v>150</v>
      </c>
      <c r="H51" s="67">
        <v>150</v>
      </c>
      <c r="I51" s="67">
        <v>150</v>
      </c>
      <c r="J51" s="67">
        <v>150</v>
      </c>
      <c r="K51" s="68">
        <f>SUM(E51:J51)</f>
        <v>900</v>
      </c>
      <c r="L51" s="69">
        <v>0</v>
      </c>
      <c r="M51" s="68">
        <f t="shared" si="7"/>
        <v>900</v>
      </c>
    </row>
    <row r="52" spans="1:13" x14ac:dyDescent="0.45">
      <c r="A52"/>
      <c r="B52" s="70" t="s">
        <v>98</v>
      </c>
      <c r="C52" s="71"/>
      <c r="D52" s="70"/>
      <c r="E52" s="72"/>
      <c r="F52" s="72"/>
      <c r="G52" s="72"/>
      <c r="H52" s="72"/>
      <c r="I52" s="72"/>
      <c r="J52" s="72"/>
      <c r="K52" s="73">
        <f>SUM(K44:K51)</f>
        <v>33530</v>
      </c>
      <c r="L52" s="74"/>
      <c r="M52" s="73">
        <f>SUM(M44:M51)</f>
        <v>14570</v>
      </c>
    </row>
    <row r="53" spans="1:13" x14ac:dyDescent="0.45">
      <c r="A53"/>
      <c r="B53" s="75" t="s">
        <v>99</v>
      </c>
      <c r="C53" s="76"/>
      <c r="D53" s="75"/>
      <c r="E53" s="77"/>
      <c r="F53" s="77"/>
      <c r="G53" s="77"/>
      <c r="H53" s="77"/>
      <c r="I53" s="77"/>
      <c r="J53" s="77"/>
      <c r="K53" s="78">
        <f>SUM(K31,K38,K43,K52)</f>
        <v>146580</v>
      </c>
      <c r="L53" s="79"/>
      <c r="M53" s="78">
        <f>SUM(M31,M38,M43,M52)</f>
        <v>35460</v>
      </c>
    </row>
    <row r="54" spans="1:13" x14ac:dyDescent="0.45">
      <c r="A54"/>
      <c r="B54" s="75" t="s">
        <v>100</v>
      </c>
      <c r="C54" s="76"/>
      <c r="D54" s="75" t="s">
        <v>101</v>
      </c>
      <c r="E54" s="77"/>
      <c r="F54" s="77"/>
      <c r="G54" s="77"/>
      <c r="H54" s="77"/>
      <c r="I54" s="77"/>
      <c r="J54" s="77"/>
      <c r="K54" s="78">
        <f>K22+M53</f>
        <v>116580</v>
      </c>
      <c r="L54" s="79"/>
      <c r="M54" s="78">
        <f>K22+M53</f>
        <v>116580</v>
      </c>
    </row>
    <row r="56" spans="1:13" x14ac:dyDescent="0.45">
      <c r="B56" s="177" t="s">
        <v>102</v>
      </c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</row>
  </sheetData>
  <mergeCells count="11">
    <mergeCell ref="C19:D19"/>
    <mergeCell ref="B56:M56"/>
    <mergeCell ref="C20:D20"/>
    <mergeCell ref="B21:D21"/>
    <mergeCell ref="B22:J22"/>
    <mergeCell ref="B24:M24"/>
    <mergeCell ref="B1:M1"/>
    <mergeCell ref="B15:D15"/>
    <mergeCell ref="C16:D16"/>
    <mergeCell ref="C17:D17"/>
    <mergeCell ref="C18:D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zoomScale="80" zoomScaleNormal="80" workbookViewId="0">
      <selection activeCell="D8" sqref="D8"/>
    </sheetView>
  </sheetViews>
  <sheetFormatPr defaultColWidth="11.59765625" defaultRowHeight="14.25" x14ac:dyDescent="0.45"/>
  <cols>
    <col min="1" max="1" width="3" style="1" customWidth="1"/>
    <col min="2" max="2" width="46.06640625" style="1" customWidth="1"/>
    <col min="3" max="3" width="9.265625" style="1" bestFit="1" customWidth="1"/>
    <col min="4" max="4" width="42" style="1" customWidth="1"/>
    <col min="5" max="10" width="7.265625" style="1" bestFit="1" customWidth="1"/>
    <col min="11" max="11" width="13.19921875" style="1" bestFit="1" customWidth="1"/>
    <col min="12" max="12" width="13" style="1" customWidth="1"/>
    <col min="13" max="13" width="13.6640625" style="1" bestFit="1" customWidth="1"/>
    <col min="14" max="16384" width="11.59765625" style="1"/>
  </cols>
  <sheetData>
    <row r="1" spans="1:13" ht="18" x14ac:dyDescent="0.45">
      <c r="A1" s="91" t="s">
        <v>103</v>
      </c>
      <c r="B1" s="198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200"/>
    </row>
    <row r="2" spans="1:13" x14ac:dyDescent="0.45">
      <c r="A2" s="210" t="s">
        <v>104</v>
      </c>
      <c r="B2" s="211" t="s">
        <v>105</v>
      </c>
      <c r="C2" s="212"/>
      <c r="D2" s="212"/>
      <c r="E2" s="213"/>
      <c r="F2" s="213"/>
      <c r="G2" s="213"/>
      <c r="H2" s="213"/>
      <c r="I2" s="213"/>
      <c r="J2" s="213"/>
      <c r="K2" s="214"/>
      <c r="L2" s="215"/>
      <c r="M2" s="216"/>
    </row>
    <row r="3" spans="1:13" x14ac:dyDescent="0.45">
      <c r="A3" s="92"/>
      <c r="B3" s="93"/>
      <c r="C3" s="94"/>
      <c r="D3" s="95"/>
      <c r="E3" s="94"/>
      <c r="F3" s="94"/>
      <c r="G3" s="94"/>
      <c r="H3" s="94"/>
      <c r="I3" s="94"/>
      <c r="J3" s="96"/>
      <c r="K3" s="97"/>
      <c r="L3" s="98"/>
      <c r="M3" s="99"/>
    </row>
    <row r="4" spans="1:13" x14ac:dyDescent="0.45">
      <c r="A4" s="186" t="s">
        <v>106</v>
      </c>
      <c r="B4" s="217"/>
      <c r="C4" s="218"/>
      <c r="D4" s="218"/>
      <c r="E4" s="218"/>
      <c r="F4" s="218"/>
      <c r="G4" s="218"/>
      <c r="H4" s="218"/>
      <c r="I4" s="218"/>
      <c r="J4" s="219"/>
      <c r="K4" s="220"/>
      <c r="L4" s="221"/>
      <c r="M4" s="222"/>
    </row>
    <row r="5" spans="1:13" x14ac:dyDescent="0.45">
      <c r="A5" s="80"/>
      <c r="B5" s="81" t="s">
        <v>1</v>
      </c>
      <c r="C5" s="82" t="s">
        <v>2</v>
      </c>
      <c r="D5" s="82" t="s">
        <v>107</v>
      </c>
      <c r="E5" s="86">
        <v>46569</v>
      </c>
      <c r="F5" s="86">
        <v>46600</v>
      </c>
      <c r="G5" s="86">
        <v>46631</v>
      </c>
      <c r="H5" s="86">
        <v>46661</v>
      </c>
      <c r="I5" s="86">
        <v>46692</v>
      </c>
      <c r="J5" s="86">
        <v>46722</v>
      </c>
      <c r="K5" s="83" t="s">
        <v>4</v>
      </c>
      <c r="L5" s="84" t="s">
        <v>32</v>
      </c>
      <c r="M5" s="85" t="e">
        <f t="shared" ref="M5:M15" si="0">K5*(100-L5)/100</f>
        <v>#VALUE!</v>
      </c>
    </row>
    <row r="6" spans="1:13" x14ac:dyDescent="0.45">
      <c r="A6" s="92"/>
      <c r="B6" s="100" t="s">
        <v>6</v>
      </c>
      <c r="C6" s="101">
        <v>200</v>
      </c>
      <c r="D6" s="102" t="s">
        <v>108</v>
      </c>
      <c r="E6" s="103">
        <v>1</v>
      </c>
      <c r="F6" s="103">
        <v>1</v>
      </c>
      <c r="G6" s="103">
        <v>1</v>
      </c>
      <c r="H6" s="103">
        <v>1</v>
      </c>
      <c r="I6" s="103">
        <v>1</v>
      </c>
      <c r="J6" s="103">
        <v>1</v>
      </c>
      <c r="K6" s="104">
        <f t="shared" ref="K6:K19" si="1">SUM(E6:J6)*C6*160</f>
        <v>192000</v>
      </c>
      <c r="L6" s="105">
        <v>80</v>
      </c>
      <c r="M6" s="106">
        <f t="shared" si="0"/>
        <v>38400</v>
      </c>
    </row>
    <row r="7" spans="1:13" x14ac:dyDescent="0.45">
      <c r="A7" s="92"/>
      <c r="B7" s="100" t="s">
        <v>109</v>
      </c>
      <c r="C7" s="101">
        <v>100</v>
      </c>
      <c r="D7" s="102" t="s">
        <v>110</v>
      </c>
      <c r="E7" s="103">
        <v>2</v>
      </c>
      <c r="F7" s="103">
        <v>2</v>
      </c>
      <c r="G7" s="103">
        <v>2</v>
      </c>
      <c r="H7" s="103">
        <v>2</v>
      </c>
      <c r="I7" s="103">
        <v>2</v>
      </c>
      <c r="J7" s="103">
        <v>2</v>
      </c>
      <c r="K7" s="104">
        <f t="shared" si="1"/>
        <v>192000</v>
      </c>
      <c r="L7" s="105">
        <v>80</v>
      </c>
      <c r="M7" s="106">
        <f t="shared" si="0"/>
        <v>38400</v>
      </c>
    </row>
    <row r="8" spans="1:13" x14ac:dyDescent="0.45">
      <c r="A8" s="92"/>
      <c r="B8" s="100" t="s">
        <v>111</v>
      </c>
      <c r="C8" s="101">
        <v>60</v>
      </c>
      <c r="D8" s="102" t="s">
        <v>112</v>
      </c>
      <c r="E8" s="103">
        <v>2</v>
      </c>
      <c r="F8" s="103">
        <v>2</v>
      </c>
      <c r="G8" s="103">
        <v>2</v>
      </c>
      <c r="H8" s="103">
        <v>2</v>
      </c>
      <c r="I8" s="103">
        <v>2</v>
      </c>
      <c r="J8" s="103">
        <v>2</v>
      </c>
      <c r="K8" s="104">
        <f t="shared" si="1"/>
        <v>115200</v>
      </c>
      <c r="L8" s="105">
        <v>80</v>
      </c>
      <c r="M8" s="106">
        <f t="shared" si="0"/>
        <v>23040</v>
      </c>
    </row>
    <row r="9" spans="1:13" x14ac:dyDescent="0.45">
      <c r="A9" s="92"/>
      <c r="B9" s="100" t="s">
        <v>113</v>
      </c>
      <c r="C9" s="101">
        <v>40</v>
      </c>
      <c r="D9" s="102" t="s">
        <v>114</v>
      </c>
      <c r="E9" s="103">
        <v>2</v>
      </c>
      <c r="F9" s="103">
        <v>2</v>
      </c>
      <c r="G9" s="103">
        <v>2</v>
      </c>
      <c r="H9" s="103">
        <v>2</v>
      </c>
      <c r="I9" s="103">
        <v>2</v>
      </c>
      <c r="J9" s="103">
        <v>2</v>
      </c>
      <c r="K9" s="104">
        <f t="shared" si="1"/>
        <v>76800</v>
      </c>
      <c r="L9" s="105">
        <v>80</v>
      </c>
      <c r="M9" s="106">
        <f t="shared" si="0"/>
        <v>15360</v>
      </c>
    </row>
    <row r="10" spans="1:13" x14ac:dyDescent="0.45">
      <c r="A10" s="92"/>
      <c r="B10" s="100" t="s">
        <v>115</v>
      </c>
      <c r="C10" s="101">
        <v>60</v>
      </c>
      <c r="D10" s="102" t="s">
        <v>116</v>
      </c>
      <c r="E10" s="103">
        <v>6</v>
      </c>
      <c r="F10" s="103">
        <v>6</v>
      </c>
      <c r="G10" s="103">
        <v>7</v>
      </c>
      <c r="H10" s="103">
        <v>8</v>
      </c>
      <c r="I10" s="103">
        <v>8</v>
      </c>
      <c r="J10" s="103">
        <v>8</v>
      </c>
      <c r="K10" s="104">
        <f t="shared" si="1"/>
        <v>412800</v>
      </c>
      <c r="L10" s="105">
        <v>80</v>
      </c>
      <c r="M10" s="106">
        <f t="shared" si="0"/>
        <v>82560</v>
      </c>
    </row>
    <row r="11" spans="1:13" x14ac:dyDescent="0.45">
      <c r="A11" s="92"/>
      <c r="B11" s="100" t="s">
        <v>35</v>
      </c>
      <c r="C11" s="101">
        <v>40</v>
      </c>
      <c r="D11" s="102" t="s">
        <v>117</v>
      </c>
      <c r="E11" s="103">
        <v>4</v>
      </c>
      <c r="F11" s="103">
        <v>4</v>
      </c>
      <c r="G11" s="103">
        <v>5</v>
      </c>
      <c r="H11" s="103">
        <v>6</v>
      </c>
      <c r="I11" s="103">
        <v>6</v>
      </c>
      <c r="J11" s="103">
        <v>6</v>
      </c>
      <c r="K11" s="104">
        <f t="shared" si="1"/>
        <v>198400</v>
      </c>
      <c r="L11" s="105">
        <v>80</v>
      </c>
      <c r="M11" s="106">
        <f t="shared" si="0"/>
        <v>39680</v>
      </c>
    </row>
    <row r="12" spans="1:13" ht="28.5" x14ac:dyDescent="0.45">
      <c r="A12" s="92"/>
      <c r="B12" s="100" t="s">
        <v>118</v>
      </c>
      <c r="C12" s="101">
        <v>60</v>
      </c>
      <c r="D12" s="102" t="s">
        <v>119</v>
      </c>
      <c r="E12" s="103">
        <v>4</v>
      </c>
      <c r="F12" s="103">
        <v>5</v>
      </c>
      <c r="G12" s="103">
        <v>5</v>
      </c>
      <c r="H12" s="103">
        <v>6</v>
      </c>
      <c r="I12" s="103">
        <v>6</v>
      </c>
      <c r="J12" s="103">
        <v>6</v>
      </c>
      <c r="K12" s="104">
        <f t="shared" si="1"/>
        <v>307200</v>
      </c>
      <c r="L12" s="105">
        <v>80</v>
      </c>
      <c r="M12" s="106">
        <f t="shared" si="0"/>
        <v>61440</v>
      </c>
    </row>
    <row r="13" spans="1:13" x14ac:dyDescent="0.45">
      <c r="A13" s="92"/>
      <c r="B13" s="107" t="s">
        <v>36</v>
      </c>
      <c r="C13" s="108">
        <v>40</v>
      </c>
      <c r="D13" s="109" t="s">
        <v>120</v>
      </c>
      <c r="E13" s="110">
        <v>3</v>
      </c>
      <c r="F13" s="110">
        <v>3</v>
      </c>
      <c r="G13" s="110">
        <v>4</v>
      </c>
      <c r="H13" s="110">
        <v>4</v>
      </c>
      <c r="I13" s="110">
        <v>4</v>
      </c>
      <c r="J13" s="110">
        <v>4</v>
      </c>
      <c r="K13" s="111">
        <f t="shared" si="1"/>
        <v>140800</v>
      </c>
      <c r="L13" s="105">
        <v>80</v>
      </c>
      <c r="M13" s="106">
        <f t="shared" si="0"/>
        <v>28160</v>
      </c>
    </row>
    <row r="14" spans="1:13" x14ac:dyDescent="0.45">
      <c r="A14" s="92"/>
      <c r="B14" s="107" t="s">
        <v>121</v>
      </c>
      <c r="C14" s="108">
        <v>60</v>
      </c>
      <c r="D14" s="109" t="s">
        <v>122</v>
      </c>
      <c r="E14" s="110">
        <v>2</v>
      </c>
      <c r="F14" s="110">
        <v>2</v>
      </c>
      <c r="G14" s="110">
        <v>3</v>
      </c>
      <c r="H14" s="110">
        <v>3</v>
      </c>
      <c r="I14" s="110">
        <v>4</v>
      </c>
      <c r="J14" s="110">
        <v>4</v>
      </c>
      <c r="K14" s="111">
        <f t="shared" si="1"/>
        <v>172800</v>
      </c>
      <c r="L14" s="105">
        <v>80</v>
      </c>
      <c r="M14" s="112">
        <f t="shared" si="0"/>
        <v>34560</v>
      </c>
    </row>
    <row r="15" spans="1:13" x14ac:dyDescent="0.45">
      <c r="A15" s="92"/>
      <c r="B15" s="107" t="s">
        <v>37</v>
      </c>
      <c r="C15" s="108">
        <v>40</v>
      </c>
      <c r="D15" s="109" t="s">
        <v>123</v>
      </c>
      <c r="E15" s="110">
        <v>2</v>
      </c>
      <c r="F15" s="110">
        <v>2</v>
      </c>
      <c r="G15" s="110">
        <v>2</v>
      </c>
      <c r="H15" s="110">
        <v>2</v>
      </c>
      <c r="I15" s="110">
        <v>2</v>
      </c>
      <c r="J15" s="110">
        <v>2</v>
      </c>
      <c r="K15" s="111">
        <f t="shared" si="1"/>
        <v>76800</v>
      </c>
      <c r="L15" s="105">
        <v>80</v>
      </c>
      <c r="M15" s="112">
        <f t="shared" si="0"/>
        <v>15360</v>
      </c>
    </row>
    <row r="16" spans="1:13" x14ac:dyDescent="0.45">
      <c r="A16" s="92"/>
      <c r="B16" s="113" t="s">
        <v>124</v>
      </c>
      <c r="C16" s="114">
        <v>60</v>
      </c>
      <c r="D16" s="115" t="s">
        <v>125</v>
      </c>
      <c r="E16" s="116">
        <v>4</v>
      </c>
      <c r="F16" s="116">
        <v>4</v>
      </c>
      <c r="G16" s="116">
        <v>5</v>
      </c>
      <c r="H16" s="116">
        <v>6</v>
      </c>
      <c r="I16" s="116">
        <v>6</v>
      </c>
      <c r="J16" s="116">
        <v>6</v>
      </c>
      <c r="K16" s="117">
        <f t="shared" si="1"/>
        <v>297600</v>
      </c>
      <c r="L16" s="118">
        <v>80</v>
      </c>
      <c r="M16" s="119">
        <f>K16*(1-L16/100)</f>
        <v>59519.999999999985</v>
      </c>
    </row>
    <row r="17" spans="1:13" x14ac:dyDescent="0.45">
      <c r="A17" s="92"/>
      <c r="B17" s="201" t="s">
        <v>40</v>
      </c>
      <c r="C17" s="202">
        <v>40</v>
      </c>
      <c r="D17" s="203" t="s">
        <v>126</v>
      </c>
      <c r="E17" s="120">
        <v>4</v>
      </c>
      <c r="F17" s="120">
        <v>4</v>
      </c>
      <c r="G17" s="120">
        <v>4</v>
      </c>
      <c r="H17" s="120">
        <v>4</v>
      </c>
      <c r="I17" s="120">
        <v>4</v>
      </c>
      <c r="J17" s="121">
        <v>4</v>
      </c>
      <c r="K17" s="122">
        <f t="shared" si="1"/>
        <v>153600</v>
      </c>
      <c r="L17" s="123">
        <v>80</v>
      </c>
      <c r="M17" s="124">
        <f>K17*(1-L17/100)</f>
        <v>30719.999999999993</v>
      </c>
    </row>
    <row r="18" spans="1:13" x14ac:dyDescent="0.45">
      <c r="A18" s="92"/>
      <c r="B18" s="125" t="s">
        <v>127</v>
      </c>
      <c r="C18" s="204">
        <v>40</v>
      </c>
      <c r="D18" s="205" t="s">
        <v>128</v>
      </c>
      <c r="E18" s="126">
        <v>1</v>
      </c>
      <c r="F18" s="126">
        <v>1</v>
      </c>
      <c r="G18" s="126">
        <v>1</v>
      </c>
      <c r="H18" s="126">
        <v>1</v>
      </c>
      <c r="I18" s="126">
        <v>1</v>
      </c>
      <c r="J18" s="126">
        <v>1</v>
      </c>
      <c r="K18" s="127">
        <f t="shared" si="1"/>
        <v>38400</v>
      </c>
      <c r="L18" s="128">
        <v>80</v>
      </c>
      <c r="M18" s="129">
        <f>K18*(1-L18/100)</f>
        <v>7679.9999999999982</v>
      </c>
    </row>
    <row r="19" spans="1:13" x14ac:dyDescent="0.45">
      <c r="A19" s="92"/>
      <c r="B19" s="130" t="s">
        <v>129</v>
      </c>
      <c r="C19" s="206">
        <v>25</v>
      </c>
      <c r="D19" s="207" t="s">
        <v>130</v>
      </c>
      <c r="E19" s="131">
        <v>6</v>
      </c>
      <c r="F19" s="131">
        <v>8</v>
      </c>
      <c r="G19" s="131">
        <v>10</v>
      </c>
      <c r="H19" s="131">
        <v>12</v>
      </c>
      <c r="I19" s="131">
        <v>14</v>
      </c>
      <c r="J19" s="131">
        <v>16</v>
      </c>
      <c r="K19" s="132">
        <f t="shared" si="1"/>
        <v>264000</v>
      </c>
      <c r="L19" s="128">
        <v>80</v>
      </c>
      <c r="M19" s="129">
        <f>K19*(1-L19/100)</f>
        <v>52799.999999999985</v>
      </c>
    </row>
    <row r="20" spans="1:13" x14ac:dyDescent="0.45">
      <c r="A20" s="133"/>
      <c r="B20" s="134" t="s">
        <v>131</v>
      </c>
      <c r="C20" s="208"/>
      <c r="D20" s="208"/>
      <c r="E20" s="135">
        <f t="shared" ref="E20:K20" si="2">SUM(E6:E19)</f>
        <v>43</v>
      </c>
      <c r="F20" s="135">
        <f t="shared" si="2"/>
        <v>46</v>
      </c>
      <c r="G20" s="135">
        <f t="shared" si="2"/>
        <v>53</v>
      </c>
      <c r="H20" s="135">
        <f t="shared" si="2"/>
        <v>59</v>
      </c>
      <c r="I20" s="135">
        <f t="shared" si="2"/>
        <v>62</v>
      </c>
      <c r="J20" s="135">
        <f t="shared" si="2"/>
        <v>64</v>
      </c>
      <c r="K20" s="136">
        <f t="shared" si="2"/>
        <v>2638400</v>
      </c>
      <c r="L20" s="137"/>
      <c r="M20" s="138">
        <f>SUM(M6:M19)</f>
        <v>527680</v>
      </c>
    </row>
    <row r="21" spans="1:13" x14ac:dyDescent="0.45">
      <c r="A21" s="133"/>
      <c r="B21" s="134" t="s">
        <v>132</v>
      </c>
      <c r="C21" s="208"/>
      <c r="D21" s="208"/>
      <c r="E21" s="139"/>
      <c r="F21" s="139"/>
      <c r="G21" s="139"/>
      <c r="H21" s="139"/>
      <c r="I21" s="139"/>
      <c r="J21" s="139"/>
      <c r="K21" s="136">
        <f>SUM(K6:K19)</f>
        <v>2638400</v>
      </c>
      <c r="L21" s="137"/>
      <c r="M21" s="138">
        <f>SUM(M6:M19)</f>
        <v>527680</v>
      </c>
    </row>
    <row r="22" spans="1:13" x14ac:dyDescent="0.45">
      <c r="A22" s="92"/>
      <c r="B22" s="140"/>
      <c r="C22" s="209"/>
      <c r="D22" s="209"/>
      <c r="E22" s="141"/>
      <c r="F22" s="141"/>
      <c r="G22" s="141"/>
      <c r="H22" s="141"/>
      <c r="I22" s="141"/>
      <c r="J22" s="141"/>
      <c r="K22" s="117"/>
      <c r="L22" s="142"/>
      <c r="M22" s="129"/>
    </row>
    <row r="23" spans="1:13" ht="28.5" x14ac:dyDescent="0.45">
      <c r="A23" s="80"/>
      <c r="B23" s="192" t="s">
        <v>23</v>
      </c>
      <c r="C23" s="193" t="s">
        <v>24</v>
      </c>
      <c r="D23" s="193"/>
      <c r="E23" s="87">
        <v>46569</v>
      </c>
      <c r="F23" s="87">
        <f t="shared" ref="F23:J23" si="3">SUM(F19:F22)</f>
        <v>54</v>
      </c>
      <c r="G23" s="87">
        <f t="shared" si="3"/>
        <v>63</v>
      </c>
      <c r="H23" s="87">
        <f t="shared" si="3"/>
        <v>71</v>
      </c>
      <c r="I23" s="87">
        <f t="shared" si="3"/>
        <v>76</v>
      </c>
      <c r="J23" s="87">
        <f t="shared" si="3"/>
        <v>80</v>
      </c>
      <c r="K23" s="89" t="s">
        <v>4</v>
      </c>
      <c r="L23" s="88" t="s">
        <v>32</v>
      </c>
      <c r="M23" s="90" t="s">
        <v>5</v>
      </c>
    </row>
    <row r="24" spans="1:13" x14ac:dyDescent="0.45">
      <c r="A24" s="92"/>
      <c r="B24" s="194" t="s">
        <v>25</v>
      </c>
      <c r="C24" s="195"/>
      <c r="D24" s="195" t="s">
        <v>133</v>
      </c>
      <c r="E24" s="196">
        <v>600</v>
      </c>
      <c r="F24" s="196">
        <v>600</v>
      </c>
      <c r="G24" s="196">
        <v>600</v>
      </c>
      <c r="H24" s="196">
        <v>600</v>
      </c>
      <c r="I24" s="196">
        <v>600</v>
      </c>
      <c r="J24" s="197">
        <v>600</v>
      </c>
      <c r="K24" s="143">
        <f t="shared" ref="K24:K29" si="4">SUM(E24:J24)</f>
        <v>3600</v>
      </c>
      <c r="L24" s="128">
        <v>0</v>
      </c>
      <c r="M24" s="129">
        <f t="shared" ref="M24:M29" si="5">K24*(1-L24/100)</f>
        <v>3600</v>
      </c>
    </row>
    <row r="25" spans="1:13" x14ac:dyDescent="0.45">
      <c r="A25" s="92"/>
      <c r="B25" s="144" t="s">
        <v>27</v>
      </c>
      <c r="C25" s="144"/>
      <c r="D25" s="144" t="s">
        <v>134</v>
      </c>
      <c r="E25" s="145">
        <v>600</v>
      </c>
      <c r="F25" s="145">
        <v>600</v>
      </c>
      <c r="G25" s="145">
        <v>600</v>
      </c>
      <c r="H25" s="145">
        <v>600</v>
      </c>
      <c r="I25" s="145">
        <v>600</v>
      </c>
      <c r="J25" s="145">
        <v>600</v>
      </c>
      <c r="K25" s="129">
        <f t="shared" si="4"/>
        <v>3600</v>
      </c>
      <c r="L25" s="128">
        <v>0</v>
      </c>
      <c r="M25" s="129">
        <f t="shared" si="5"/>
        <v>3600</v>
      </c>
    </row>
    <row r="26" spans="1:13" x14ac:dyDescent="0.45">
      <c r="A26" s="92"/>
      <c r="B26" s="144" t="s">
        <v>135</v>
      </c>
      <c r="C26" s="144"/>
      <c r="D26" s="144" t="s">
        <v>136</v>
      </c>
      <c r="E26" s="145">
        <v>8000</v>
      </c>
      <c r="F26" s="145">
        <v>12000</v>
      </c>
      <c r="G26" s="145">
        <v>18000</v>
      </c>
      <c r="H26" s="145">
        <v>25000</v>
      </c>
      <c r="I26" s="145">
        <v>35000</v>
      </c>
      <c r="J26" s="145">
        <v>50000</v>
      </c>
      <c r="K26" s="129">
        <f t="shared" si="4"/>
        <v>148000</v>
      </c>
      <c r="L26" s="128">
        <v>0</v>
      </c>
      <c r="M26" s="129">
        <f t="shared" si="5"/>
        <v>148000</v>
      </c>
    </row>
    <row r="27" spans="1:13" x14ac:dyDescent="0.45">
      <c r="A27" s="92"/>
      <c r="B27" s="144" t="s">
        <v>137</v>
      </c>
      <c r="C27" s="144"/>
      <c r="D27" s="144" t="s">
        <v>138</v>
      </c>
      <c r="E27" s="145">
        <v>4000</v>
      </c>
      <c r="F27" s="145">
        <v>6000</v>
      </c>
      <c r="G27" s="145">
        <v>9000</v>
      </c>
      <c r="H27" s="145">
        <v>12000</v>
      </c>
      <c r="I27" s="145">
        <v>18000</v>
      </c>
      <c r="J27" s="145">
        <v>25000</v>
      </c>
      <c r="K27" s="129">
        <f t="shared" si="4"/>
        <v>74000</v>
      </c>
      <c r="L27" s="128">
        <v>0</v>
      </c>
      <c r="M27" s="129">
        <f t="shared" si="5"/>
        <v>74000</v>
      </c>
    </row>
    <row r="28" spans="1:13" x14ac:dyDescent="0.45">
      <c r="A28" s="92"/>
      <c r="B28" s="144" t="s">
        <v>139</v>
      </c>
      <c r="C28" s="144"/>
      <c r="D28" s="144" t="s">
        <v>140</v>
      </c>
      <c r="E28" s="145">
        <v>1000</v>
      </c>
      <c r="F28" s="145">
        <v>1500</v>
      </c>
      <c r="G28" s="145">
        <v>2000</v>
      </c>
      <c r="H28" s="145">
        <v>2500</v>
      </c>
      <c r="I28" s="145">
        <v>3000</v>
      </c>
      <c r="J28" s="145">
        <v>4000</v>
      </c>
      <c r="K28" s="129">
        <f t="shared" si="4"/>
        <v>14000</v>
      </c>
      <c r="L28" s="128">
        <v>0</v>
      </c>
      <c r="M28" s="129">
        <f t="shared" si="5"/>
        <v>14000</v>
      </c>
    </row>
    <row r="29" spans="1:13" x14ac:dyDescent="0.45">
      <c r="A29" s="92"/>
      <c r="B29" s="144" t="s">
        <v>141</v>
      </c>
      <c r="C29" s="144"/>
      <c r="D29" s="144" t="s">
        <v>142</v>
      </c>
      <c r="E29" s="145">
        <v>500</v>
      </c>
      <c r="F29" s="145">
        <v>750</v>
      </c>
      <c r="G29" s="145">
        <v>1000</v>
      </c>
      <c r="H29" s="145">
        <v>1500</v>
      </c>
      <c r="I29" s="145">
        <v>2000</v>
      </c>
      <c r="J29" s="145">
        <v>3000</v>
      </c>
      <c r="K29" s="129">
        <f t="shared" si="4"/>
        <v>8750</v>
      </c>
      <c r="L29" s="128">
        <v>0</v>
      </c>
      <c r="M29" s="129">
        <f t="shared" si="5"/>
        <v>8750</v>
      </c>
    </row>
    <row r="30" spans="1:13" x14ac:dyDescent="0.45">
      <c r="A30" s="133"/>
      <c r="B30" s="146" t="s">
        <v>143</v>
      </c>
      <c r="C30" s="146"/>
      <c r="D30" s="146"/>
      <c r="E30" s="138">
        <f t="shared" ref="E30:K30" si="6">SUM(E24:E29)</f>
        <v>14700</v>
      </c>
      <c r="F30" s="138">
        <f t="shared" si="6"/>
        <v>21450</v>
      </c>
      <c r="G30" s="138">
        <f t="shared" si="6"/>
        <v>31200</v>
      </c>
      <c r="H30" s="138">
        <f t="shared" si="6"/>
        <v>42200</v>
      </c>
      <c r="I30" s="138">
        <f t="shared" si="6"/>
        <v>59200</v>
      </c>
      <c r="J30" s="138">
        <f t="shared" si="6"/>
        <v>83200</v>
      </c>
      <c r="K30" s="138">
        <f t="shared" si="6"/>
        <v>251950</v>
      </c>
      <c r="L30" s="137"/>
      <c r="M30" s="138">
        <f>SUM(M24:M29)</f>
        <v>251950</v>
      </c>
    </row>
    <row r="31" spans="1:13" x14ac:dyDescent="0.45">
      <c r="A31" s="133"/>
      <c r="B31" s="146" t="s">
        <v>29</v>
      </c>
      <c r="C31" s="146"/>
      <c r="D31" s="146"/>
      <c r="E31" s="138"/>
      <c r="F31" s="138"/>
      <c r="G31" s="138"/>
      <c r="H31" s="138"/>
      <c r="I31" s="138"/>
      <c r="J31" s="138"/>
      <c r="K31" s="138">
        <f>K21+K30</f>
        <v>2890350</v>
      </c>
      <c r="L31" s="137"/>
      <c r="M31" s="138">
        <f>M21+M30</f>
        <v>779630</v>
      </c>
    </row>
    <row r="32" spans="1:13" x14ac:dyDescent="0.45">
      <c r="A32" s="92"/>
      <c r="B32" s="144"/>
      <c r="C32" s="144"/>
      <c r="D32" s="144"/>
      <c r="E32" s="92"/>
      <c r="F32" s="92"/>
      <c r="G32" s="92"/>
      <c r="H32" s="92"/>
      <c r="I32" s="92"/>
      <c r="J32" s="92"/>
      <c r="K32" s="129"/>
      <c r="L32" s="142"/>
      <c r="M32" s="129"/>
    </row>
    <row r="33" spans="1:13" x14ac:dyDescent="0.45">
      <c r="A33" s="186" t="s">
        <v>144</v>
      </c>
      <c r="B33" s="188"/>
      <c r="C33" s="188"/>
      <c r="D33" s="188"/>
      <c r="E33" s="186"/>
      <c r="F33" s="186"/>
      <c r="G33" s="186"/>
      <c r="H33" s="186"/>
      <c r="I33" s="186"/>
      <c r="J33" s="186"/>
      <c r="K33" s="189"/>
      <c r="L33" s="190"/>
      <c r="M33" s="189"/>
    </row>
    <row r="34" spans="1:13" x14ac:dyDescent="0.45">
      <c r="A34" s="182"/>
      <c r="B34" s="182" t="s">
        <v>145</v>
      </c>
      <c r="C34" s="182" t="s">
        <v>2</v>
      </c>
      <c r="D34" s="182" t="s">
        <v>146</v>
      </c>
      <c r="E34" s="183">
        <v>46569</v>
      </c>
      <c r="F34" s="183">
        <v>46600</v>
      </c>
      <c r="G34" s="183">
        <v>46631</v>
      </c>
      <c r="H34" s="183">
        <v>46661</v>
      </c>
      <c r="I34" s="183">
        <v>46692</v>
      </c>
      <c r="J34" s="183">
        <v>46722</v>
      </c>
      <c r="K34" s="184" t="s">
        <v>4</v>
      </c>
      <c r="L34" s="185" t="s">
        <v>32</v>
      </c>
      <c r="M34" s="184" t="s">
        <v>5</v>
      </c>
    </row>
    <row r="35" spans="1:13" x14ac:dyDescent="0.45">
      <c r="A35" s="80"/>
      <c r="B35" s="80" t="s">
        <v>147</v>
      </c>
      <c r="C35" s="157">
        <v>40</v>
      </c>
      <c r="D35" s="158" t="s">
        <v>148</v>
      </c>
      <c r="E35" s="159">
        <v>1</v>
      </c>
      <c r="F35" s="159">
        <v>1</v>
      </c>
      <c r="G35" s="159">
        <v>1</v>
      </c>
      <c r="H35" s="159">
        <v>1</v>
      </c>
      <c r="I35" s="159">
        <v>1</v>
      </c>
      <c r="J35" s="159">
        <v>1</v>
      </c>
      <c r="K35" s="90">
        <f t="shared" ref="K35:K40" si="7">SUM(E35:J35)*C35*160</f>
        <v>38400</v>
      </c>
      <c r="L35" s="160">
        <v>90</v>
      </c>
      <c r="M35" s="90">
        <f t="shared" ref="M35:M40" si="8">K35*(1-L35/100)</f>
        <v>3839.9999999999991</v>
      </c>
    </row>
    <row r="36" spans="1:13" ht="28.5" x14ac:dyDescent="0.45">
      <c r="A36" s="92"/>
      <c r="B36" s="144" t="s">
        <v>51</v>
      </c>
      <c r="C36" s="147">
        <v>25</v>
      </c>
      <c r="D36" s="148" t="s">
        <v>149</v>
      </c>
      <c r="E36" s="149">
        <v>1</v>
      </c>
      <c r="F36" s="149">
        <v>1</v>
      </c>
      <c r="G36" s="149">
        <v>1</v>
      </c>
      <c r="H36" s="149">
        <v>1</v>
      </c>
      <c r="I36" s="149">
        <v>1</v>
      </c>
      <c r="J36" s="149">
        <v>1</v>
      </c>
      <c r="K36" s="129">
        <f t="shared" si="7"/>
        <v>24000</v>
      </c>
      <c r="L36" s="128">
        <v>90</v>
      </c>
      <c r="M36" s="129">
        <f t="shared" si="8"/>
        <v>2399.9999999999995</v>
      </c>
    </row>
    <row r="37" spans="1:13" x14ac:dyDescent="0.45">
      <c r="A37" s="92"/>
      <c r="B37" s="144" t="s">
        <v>53</v>
      </c>
      <c r="C37" s="147">
        <v>25</v>
      </c>
      <c r="D37" s="148" t="s">
        <v>150</v>
      </c>
      <c r="E37" s="149">
        <v>1</v>
      </c>
      <c r="F37" s="149">
        <v>1</v>
      </c>
      <c r="G37" s="149">
        <v>1</v>
      </c>
      <c r="H37" s="149">
        <v>1</v>
      </c>
      <c r="I37" s="149">
        <v>1</v>
      </c>
      <c r="J37" s="149">
        <v>1</v>
      </c>
      <c r="K37" s="129">
        <f t="shared" si="7"/>
        <v>24000</v>
      </c>
      <c r="L37" s="128">
        <v>90</v>
      </c>
      <c r="M37" s="129">
        <f t="shared" si="8"/>
        <v>2399.9999999999995</v>
      </c>
    </row>
    <row r="38" spans="1:13" x14ac:dyDescent="0.45">
      <c r="A38" s="92"/>
      <c r="B38" s="144" t="s">
        <v>55</v>
      </c>
      <c r="C38" s="147">
        <v>25</v>
      </c>
      <c r="D38" s="148" t="s">
        <v>56</v>
      </c>
      <c r="E38" s="149">
        <v>0.5</v>
      </c>
      <c r="F38" s="149">
        <v>0.5</v>
      </c>
      <c r="G38" s="149">
        <v>0.75</v>
      </c>
      <c r="H38" s="149">
        <v>0.75</v>
      </c>
      <c r="I38" s="149">
        <v>0.75</v>
      </c>
      <c r="J38" s="149">
        <v>1</v>
      </c>
      <c r="K38" s="129">
        <f t="shared" si="7"/>
        <v>17000</v>
      </c>
      <c r="L38" s="128">
        <v>90</v>
      </c>
      <c r="M38" s="129">
        <f t="shared" si="8"/>
        <v>1699.9999999999995</v>
      </c>
    </row>
    <row r="39" spans="1:13" x14ac:dyDescent="0.45">
      <c r="A39" s="92"/>
      <c r="B39" s="144" t="s">
        <v>57</v>
      </c>
      <c r="C39" s="147">
        <v>25</v>
      </c>
      <c r="D39" s="148" t="s">
        <v>58</v>
      </c>
      <c r="E39" s="149">
        <v>0.5</v>
      </c>
      <c r="F39" s="149">
        <v>0.5</v>
      </c>
      <c r="G39" s="149">
        <v>0.75</v>
      </c>
      <c r="H39" s="149">
        <v>0.75</v>
      </c>
      <c r="I39" s="149">
        <v>0.75</v>
      </c>
      <c r="J39" s="149">
        <v>1</v>
      </c>
      <c r="K39" s="129">
        <f t="shared" si="7"/>
        <v>17000</v>
      </c>
      <c r="L39" s="128">
        <v>90</v>
      </c>
      <c r="M39" s="129">
        <f t="shared" si="8"/>
        <v>1699.9999999999995</v>
      </c>
    </row>
    <row r="40" spans="1:13" ht="28.5" x14ac:dyDescent="0.45">
      <c r="A40" s="92"/>
      <c r="B40" s="144" t="s">
        <v>151</v>
      </c>
      <c r="C40" s="147">
        <v>25</v>
      </c>
      <c r="D40" s="148" t="s">
        <v>152</v>
      </c>
      <c r="E40" s="149">
        <v>0.5</v>
      </c>
      <c r="F40" s="149">
        <v>0.5</v>
      </c>
      <c r="G40" s="149">
        <v>1</v>
      </c>
      <c r="H40" s="149">
        <v>1</v>
      </c>
      <c r="I40" s="149">
        <v>1</v>
      </c>
      <c r="J40" s="149">
        <v>1</v>
      </c>
      <c r="K40" s="129">
        <f t="shared" si="7"/>
        <v>20000</v>
      </c>
      <c r="L40" s="128">
        <v>90</v>
      </c>
      <c r="M40" s="129">
        <f t="shared" si="8"/>
        <v>1999.9999999999995</v>
      </c>
    </row>
    <row r="41" spans="1:13" x14ac:dyDescent="0.45">
      <c r="A41" s="133"/>
      <c r="B41" s="146" t="s">
        <v>59</v>
      </c>
      <c r="C41" s="150"/>
      <c r="D41" s="151"/>
      <c r="E41" s="138"/>
      <c r="F41" s="138"/>
      <c r="G41" s="138"/>
      <c r="H41" s="138"/>
      <c r="I41" s="138"/>
      <c r="J41" s="138"/>
      <c r="K41" s="138">
        <f>SUM(K35:K40)</f>
        <v>140400</v>
      </c>
      <c r="L41" s="152"/>
      <c r="M41" s="138">
        <f>SUM(M35:M40)</f>
        <v>14039.999999999998</v>
      </c>
    </row>
    <row r="42" spans="1:13" x14ac:dyDescent="0.45">
      <c r="A42" s="133"/>
      <c r="B42" s="146" t="s">
        <v>60</v>
      </c>
      <c r="C42" s="150"/>
      <c r="D42" s="151" t="s">
        <v>61</v>
      </c>
      <c r="E42" s="156">
        <v>1000</v>
      </c>
      <c r="F42" s="156">
        <v>2000</v>
      </c>
      <c r="G42" s="156">
        <v>4000</v>
      </c>
      <c r="H42" s="156">
        <v>6000</v>
      </c>
      <c r="I42" s="156">
        <v>9000</v>
      </c>
      <c r="J42" s="156">
        <v>12000</v>
      </c>
      <c r="K42" s="138">
        <f t="shared" ref="K42:K47" si="9">SUM(E42:J42)</f>
        <v>34000</v>
      </c>
      <c r="L42" s="152">
        <v>0</v>
      </c>
      <c r="M42" s="138">
        <f t="shared" ref="M42:M47" si="10">K42*(1-L42/100)</f>
        <v>34000</v>
      </c>
    </row>
    <row r="43" spans="1:13" x14ac:dyDescent="0.45">
      <c r="A43" s="92"/>
      <c r="B43" s="144" t="s">
        <v>153</v>
      </c>
      <c r="C43" s="147"/>
      <c r="D43" s="148" t="s">
        <v>63</v>
      </c>
      <c r="E43" s="145">
        <v>1000</v>
      </c>
      <c r="F43" s="145">
        <v>2000</v>
      </c>
      <c r="G43" s="145">
        <v>3500</v>
      </c>
      <c r="H43" s="145">
        <v>5000</v>
      </c>
      <c r="I43" s="145">
        <v>7500</v>
      </c>
      <c r="J43" s="145">
        <v>10000</v>
      </c>
      <c r="K43" s="129">
        <f t="shared" si="9"/>
        <v>29000</v>
      </c>
      <c r="L43" s="128">
        <v>0</v>
      </c>
      <c r="M43" s="129">
        <f t="shared" si="10"/>
        <v>29000</v>
      </c>
    </row>
    <row r="44" spans="1:13" x14ac:dyDescent="0.45">
      <c r="A44" s="92"/>
      <c r="B44" s="144" t="s">
        <v>64</v>
      </c>
      <c r="C44" s="147"/>
      <c r="D44" s="148" t="s">
        <v>154</v>
      </c>
      <c r="E44" s="145">
        <v>600</v>
      </c>
      <c r="F44" s="145">
        <v>1200</v>
      </c>
      <c r="G44" s="145">
        <v>2500</v>
      </c>
      <c r="H44" s="145">
        <v>4000</v>
      </c>
      <c r="I44" s="145">
        <v>6000</v>
      </c>
      <c r="J44" s="145">
        <v>8000</v>
      </c>
      <c r="K44" s="129">
        <f t="shared" si="9"/>
        <v>22300</v>
      </c>
      <c r="L44" s="128">
        <v>0</v>
      </c>
      <c r="M44" s="129">
        <f t="shared" si="10"/>
        <v>22300</v>
      </c>
    </row>
    <row r="45" spans="1:13" x14ac:dyDescent="0.45">
      <c r="A45" s="92"/>
      <c r="B45" s="144" t="s">
        <v>66</v>
      </c>
      <c r="C45" s="147"/>
      <c r="D45" s="148" t="s">
        <v>155</v>
      </c>
      <c r="E45" s="145">
        <v>400</v>
      </c>
      <c r="F45" s="145">
        <v>800</v>
      </c>
      <c r="G45" s="145">
        <v>1500</v>
      </c>
      <c r="H45" s="145">
        <v>2500</v>
      </c>
      <c r="I45" s="145">
        <v>4000</v>
      </c>
      <c r="J45" s="145">
        <v>6000</v>
      </c>
      <c r="K45" s="129">
        <f t="shared" si="9"/>
        <v>15200</v>
      </c>
      <c r="L45" s="128">
        <v>0</v>
      </c>
      <c r="M45" s="129">
        <f t="shared" si="10"/>
        <v>15200</v>
      </c>
    </row>
    <row r="46" spans="1:13" ht="28.5" x14ac:dyDescent="0.45">
      <c r="A46" s="92"/>
      <c r="B46" s="144" t="s">
        <v>156</v>
      </c>
      <c r="C46" s="147"/>
      <c r="D46" s="148" t="s">
        <v>69</v>
      </c>
      <c r="E46" s="145">
        <v>200</v>
      </c>
      <c r="F46" s="145">
        <v>400</v>
      </c>
      <c r="G46" s="145">
        <v>800</v>
      </c>
      <c r="H46" s="145">
        <v>1200</v>
      </c>
      <c r="I46" s="145">
        <v>2000</v>
      </c>
      <c r="J46" s="145">
        <v>3000</v>
      </c>
      <c r="K46" s="129">
        <f t="shared" si="9"/>
        <v>7600</v>
      </c>
      <c r="L46" s="128">
        <v>0</v>
      </c>
      <c r="M46" s="129">
        <f t="shared" si="10"/>
        <v>7600</v>
      </c>
    </row>
    <row r="47" spans="1:13" x14ac:dyDescent="0.45">
      <c r="A47" s="92"/>
      <c r="B47" s="144" t="s">
        <v>70</v>
      </c>
      <c r="C47" s="147"/>
      <c r="D47" s="148" t="s">
        <v>157</v>
      </c>
      <c r="E47" s="145">
        <v>1000</v>
      </c>
      <c r="F47" s="145">
        <v>2000</v>
      </c>
      <c r="G47" s="145">
        <v>4000</v>
      </c>
      <c r="H47" s="145">
        <v>6000</v>
      </c>
      <c r="I47" s="145">
        <v>9000</v>
      </c>
      <c r="J47" s="145">
        <v>12000</v>
      </c>
      <c r="K47" s="129">
        <f t="shared" si="9"/>
        <v>34000</v>
      </c>
      <c r="L47" s="128">
        <v>0</v>
      </c>
      <c r="M47" s="129">
        <f t="shared" si="10"/>
        <v>34000</v>
      </c>
    </row>
    <row r="48" spans="1:13" x14ac:dyDescent="0.45">
      <c r="A48" s="133"/>
      <c r="B48" s="146" t="s">
        <v>72</v>
      </c>
      <c r="C48" s="150"/>
      <c r="D48" s="151"/>
      <c r="E48" s="138"/>
      <c r="F48" s="138"/>
      <c r="G48" s="138"/>
      <c r="H48" s="138"/>
      <c r="I48" s="138"/>
      <c r="J48" s="138"/>
      <c r="K48" s="138">
        <f>SUM(K42:K47)</f>
        <v>142100</v>
      </c>
      <c r="L48" s="152"/>
      <c r="M48" s="138">
        <f>SUM(M42:M47)</f>
        <v>142100</v>
      </c>
    </row>
    <row r="49" spans="1:13" x14ac:dyDescent="0.45">
      <c r="A49" s="133"/>
      <c r="B49" s="146" t="s">
        <v>73</v>
      </c>
      <c r="C49" s="150"/>
      <c r="D49" s="151" t="s">
        <v>74</v>
      </c>
      <c r="E49" s="156">
        <v>25</v>
      </c>
      <c r="F49" s="156">
        <v>25</v>
      </c>
      <c r="G49" s="156">
        <v>25</v>
      </c>
      <c r="H49" s="156">
        <v>25</v>
      </c>
      <c r="I49" s="156">
        <v>25</v>
      </c>
      <c r="J49" s="156">
        <v>25</v>
      </c>
      <c r="K49" s="138">
        <f>SUM(E49:J49)</f>
        <v>150</v>
      </c>
      <c r="L49" s="152">
        <v>0</v>
      </c>
      <c r="M49" s="138">
        <f>K49*(1-L49/100)</f>
        <v>150</v>
      </c>
    </row>
    <row r="50" spans="1:13" x14ac:dyDescent="0.45">
      <c r="A50" s="92"/>
      <c r="B50" s="144" t="s">
        <v>158</v>
      </c>
      <c r="C50" s="147"/>
      <c r="D50" s="148" t="s">
        <v>76</v>
      </c>
      <c r="E50" s="145">
        <v>20</v>
      </c>
      <c r="F50" s="145">
        <v>20</v>
      </c>
      <c r="G50" s="145">
        <v>20</v>
      </c>
      <c r="H50" s="145">
        <v>20</v>
      </c>
      <c r="I50" s="145">
        <v>20</v>
      </c>
      <c r="J50" s="145">
        <v>20</v>
      </c>
      <c r="K50" s="129">
        <f>SUM(E50:J50)</f>
        <v>120</v>
      </c>
      <c r="L50" s="128">
        <v>0</v>
      </c>
      <c r="M50" s="129">
        <f>K50*(1-L50/100)</f>
        <v>120</v>
      </c>
    </row>
    <row r="51" spans="1:13" x14ac:dyDescent="0.45">
      <c r="A51" s="92"/>
      <c r="B51" s="144" t="s">
        <v>159</v>
      </c>
      <c r="C51" s="147"/>
      <c r="D51" s="148" t="s">
        <v>160</v>
      </c>
      <c r="E51" s="145">
        <v>50</v>
      </c>
      <c r="F51" s="145">
        <v>75</v>
      </c>
      <c r="G51" s="145">
        <v>100</v>
      </c>
      <c r="H51" s="145">
        <v>125</v>
      </c>
      <c r="I51" s="145">
        <v>150</v>
      </c>
      <c r="J51" s="145">
        <v>200</v>
      </c>
      <c r="K51" s="129">
        <f>SUM(E51:J51)</f>
        <v>700</v>
      </c>
      <c r="L51" s="128">
        <v>0</v>
      </c>
      <c r="M51" s="129">
        <f>K51*(1-L51/100)</f>
        <v>700</v>
      </c>
    </row>
    <row r="52" spans="1:13" x14ac:dyDescent="0.45">
      <c r="A52" s="92"/>
      <c r="B52" s="144" t="s">
        <v>161</v>
      </c>
      <c r="C52" s="147"/>
      <c r="D52" s="148" t="s">
        <v>162</v>
      </c>
      <c r="E52" s="145">
        <v>50</v>
      </c>
      <c r="F52" s="145">
        <v>50</v>
      </c>
      <c r="G52" s="145">
        <v>50</v>
      </c>
      <c r="H52" s="145">
        <v>50</v>
      </c>
      <c r="I52" s="145">
        <v>50</v>
      </c>
      <c r="J52" s="145">
        <v>50</v>
      </c>
      <c r="K52" s="129">
        <f>SUM(E52:J52)</f>
        <v>300</v>
      </c>
      <c r="L52" s="128">
        <v>0</v>
      </c>
      <c r="M52" s="129">
        <f>K52*(1-L52/100)</f>
        <v>300</v>
      </c>
    </row>
    <row r="53" spans="1:13" x14ac:dyDescent="0.45">
      <c r="A53" s="92"/>
      <c r="B53" s="144" t="s">
        <v>163</v>
      </c>
      <c r="C53" s="147"/>
      <c r="D53" s="148" t="s">
        <v>164</v>
      </c>
      <c r="E53" s="145">
        <v>200</v>
      </c>
      <c r="F53" s="145">
        <v>300</v>
      </c>
      <c r="G53" s="145">
        <v>400</v>
      </c>
      <c r="H53" s="145">
        <v>500</v>
      </c>
      <c r="I53" s="145">
        <v>750</v>
      </c>
      <c r="J53" s="145">
        <v>1000</v>
      </c>
      <c r="K53" s="129">
        <f>SUM(E53:J53)</f>
        <v>3150</v>
      </c>
      <c r="L53" s="128">
        <v>0</v>
      </c>
      <c r="M53" s="129">
        <f>K53*(1-L53/100)</f>
        <v>3150</v>
      </c>
    </row>
    <row r="54" spans="1:13" x14ac:dyDescent="0.45">
      <c r="A54" s="133"/>
      <c r="B54" s="146" t="s">
        <v>81</v>
      </c>
      <c r="C54" s="150"/>
      <c r="D54" s="151"/>
      <c r="E54" s="138"/>
      <c r="F54" s="138"/>
      <c r="G54" s="138"/>
      <c r="H54" s="138"/>
      <c r="I54" s="138"/>
      <c r="J54" s="138"/>
      <c r="K54" s="138">
        <f>SUM(K49:K53)</f>
        <v>4420</v>
      </c>
      <c r="L54" s="152"/>
      <c r="M54" s="138">
        <f>SUM(M49:M53)</f>
        <v>4420</v>
      </c>
    </row>
    <row r="55" spans="1:13" x14ac:dyDescent="0.45">
      <c r="A55" s="133"/>
      <c r="B55" s="146" t="s">
        <v>165</v>
      </c>
      <c r="C55" s="150">
        <v>15</v>
      </c>
      <c r="D55" s="151" t="s">
        <v>83</v>
      </c>
      <c r="E55" s="155">
        <v>0.5</v>
      </c>
      <c r="F55" s="155">
        <v>0.5</v>
      </c>
      <c r="G55" s="155">
        <v>0.5</v>
      </c>
      <c r="H55" s="155">
        <v>0.5</v>
      </c>
      <c r="I55" s="155">
        <v>1</v>
      </c>
      <c r="J55" s="155">
        <v>1</v>
      </c>
      <c r="K55" s="138">
        <f>SUM(E55:J55)*C55*160</f>
        <v>9600</v>
      </c>
      <c r="L55" s="152">
        <v>90</v>
      </c>
      <c r="M55" s="138">
        <f t="shared" ref="M55:M61" si="11">K55*(1-L55/100)</f>
        <v>959.99999999999977</v>
      </c>
    </row>
    <row r="56" spans="1:13" x14ac:dyDescent="0.45">
      <c r="A56" s="92"/>
      <c r="B56" s="144" t="s">
        <v>166</v>
      </c>
      <c r="C56" s="147">
        <v>20</v>
      </c>
      <c r="D56" s="148" t="s">
        <v>167</v>
      </c>
      <c r="E56" s="149">
        <v>0.5</v>
      </c>
      <c r="F56" s="149">
        <v>0.5</v>
      </c>
      <c r="G56" s="149">
        <v>0.5</v>
      </c>
      <c r="H56" s="149">
        <v>1</v>
      </c>
      <c r="I56" s="149">
        <v>1</v>
      </c>
      <c r="J56" s="149">
        <v>1</v>
      </c>
      <c r="K56" s="129">
        <f>SUM(E56:J56)*C56*160</f>
        <v>14400</v>
      </c>
      <c r="L56" s="128">
        <v>90</v>
      </c>
      <c r="M56" s="129">
        <f t="shared" si="11"/>
        <v>1439.9999999999998</v>
      </c>
    </row>
    <row r="57" spans="1:13" ht="28.5" x14ac:dyDescent="0.45">
      <c r="A57" s="92"/>
      <c r="B57" s="144" t="s">
        <v>86</v>
      </c>
      <c r="C57" s="147"/>
      <c r="D57" s="148" t="s">
        <v>168</v>
      </c>
      <c r="E57" s="145">
        <v>4500</v>
      </c>
      <c r="F57" s="145">
        <v>500</v>
      </c>
      <c r="G57" s="145">
        <v>500</v>
      </c>
      <c r="H57" s="145">
        <v>500</v>
      </c>
      <c r="I57" s="145">
        <v>500</v>
      </c>
      <c r="J57" s="145">
        <v>500</v>
      </c>
      <c r="K57" s="129">
        <f>SUM(E57:J57)</f>
        <v>7000</v>
      </c>
      <c r="L57" s="128">
        <v>0</v>
      </c>
      <c r="M57" s="129">
        <f t="shared" si="11"/>
        <v>7000</v>
      </c>
    </row>
    <row r="58" spans="1:13" x14ac:dyDescent="0.45">
      <c r="A58" s="92"/>
      <c r="B58" s="144" t="s">
        <v>88</v>
      </c>
      <c r="C58" s="147"/>
      <c r="D58" s="148" t="s">
        <v>89</v>
      </c>
      <c r="E58" s="145">
        <v>300</v>
      </c>
      <c r="F58" s="145">
        <v>300</v>
      </c>
      <c r="G58" s="145">
        <v>300</v>
      </c>
      <c r="H58" s="145">
        <v>300</v>
      </c>
      <c r="I58" s="145">
        <v>300</v>
      </c>
      <c r="J58" s="145">
        <v>300</v>
      </c>
      <c r="K58" s="129">
        <f>SUM(E58:J58)</f>
        <v>1800</v>
      </c>
      <c r="L58" s="128">
        <v>0</v>
      </c>
      <c r="M58" s="129">
        <f t="shared" si="11"/>
        <v>1800</v>
      </c>
    </row>
    <row r="59" spans="1:13" ht="28.5" x14ac:dyDescent="0.45">
      <c r="A59" s="92"/>
      <c r="B59" s="144" t="s">
        <v>169</v>
      </c>
      <c r="C59" s="147"/>
      <c r="D59" s="148" t="s">
        <v>170</v>
      </c>
      <c r="E59" s="145">
        <v>1000</v>
      </c>
      <c r="F59" s="145">
        <v>1000</v>
      </c>
      <c r="G59" s="145">
        <v>1500</v>
      </c>
      <c r="H59" s="145">
        <v>1500</v>
      </c>
      <c r="I59" s="145">
        <v>2000</v>
      </c>
      <c r="J59" s="145">
        <v>3000</v>
      </c>
      <c r="K59" s="129">
        <f>SUM(E59:J59)</f>
        <v>10000</v>
      </c>
      <c r="L59" s="128">
        <v>0</v>
      </c>
      <c r="M59" s="129">
        <f t="shared" si="11"/>
        <v>10000</v>
      </c>
    </row>
    <row r="60" spans="1:13" x14ac:dyDescent="0.45">
      <c r="A60" s="92"/>
      <c r="B60" s="144" t="s">
        <v>171</v>
      </c>
      <c r="C60" s="147">
        <v>80</v>
      </c>
      <c r="D60" s="148" t="s">
        <v>172</v>
      </c>
      <c r="E60" s="149">
        <v>0.15</v>
      </c>
      <c r="F60" s="149">
        <v>0.15</v>
      </c>
      <c r="G60" s="149">
        <v>0.2</v>
      </c>
      <c r="H60" s="149">
        <v>0.2</v>
      </c>
      <c r="I60" s="149">
        <v>0.25</v>
      </c>
      <c r="J60" s="149">
        <v>0.25</v>
      </c>
      <c r="K60" s="129">
        <f>SUM(E60:J60)*C60*160</f>
        <v>15360</v>
      </c>
      <c r="L60" s="128">
        <v>50</v>
      </c>
      <c r="M60" s="129">
        <f t="shared" si="11"/>
        <v>7680</v>
      </c>
    </row>
    <row r="61" spans="1:13" x14ac:dyDescent="0.45">
      <c r="A61" s="92"/>
      <c r="B61" s="144" t="s">
        <v>96</v>
      </c>
      <c r="C61" s="147"/>
      <c r="D61" s="148" t="s">
        <v>173</v>
      </c>
      <c r="E61" s="145">
        <v>200</v>
      </c>
      <c r="F61" s="145">
        <v>200</v>
      </c>
      <c r="G61" s="145">
        <v>250</v>
      </c>
      <c r="H61" s="145">
        <v>250</v>
      </c>
      <c r="I61" s="145">
        <v>300</v>
      </c>
      <c r="J61" s="145">
        <v>300</v>
      </c>
      <c r="K61" s="129">
        <f>SUM(E61:J61)</f>
        <v>1500</v>
      </c>
      <c r="L61" s="128">
        <v>0</v>
      </c>
      <c r="M61" s="129">
        <f t="shared" si="11"/>
        <v>1500</v>
      </c>
    </row>
    <row r="62" spans="1:13" x14ac:dyDescent="0.45">
      <c r="A62" s="133"/>
      <c r="B62" s="146" t="s">
        <v>98</v>
      </c>
      <c r="C62" s="150"/>
      <c r="D62" s="151"/>
      <c r="E62" s="138"/>
      <c r="F62" s="138"/>
      <c r="G62" s="138"/>
      <c r="H62" s="138"/>
      <c r="I62" s="138"/>
      <c r="J62" s="138"/>
      <c r="K62" s="138">
        <f>SUM(K55:K61)</f>
        <v>59660</v>
      </c>
      <c r="L62" s="152"/>
      <c r="M62" s="138">
        <f>SUM(M55:M61)</f>
        <v>30380</v>
      </c>
    </row>
    <row r="63" spans="1:13" x14ac:dyDescent="0.45">
      <c r="A63" s="133"/>
      <c r="B63" s="146" t="s">
        <v>174</v>
      </c>
      <c r="C63" s="150"/>
      <c r="D63" s="151"/>
      <c r="E63" s="138"/>
      <c r="F63" s="138"/>
      <c r="G63" s="138"/>
      <c r="H63" s="138"/>
      <c r="I63" s="138"/>
      <c r="J63" s="138"/>
      <c r="K63" s="138">
        <f>SUM(K41,K48,K54,K62)</f>
        <v>346580</v>
      </c>
      <c r="L63" s="152"/>
      <c r="M63" s="138">
        <f>SUM(M41,M48,M54,M62)</f>
        <v>190940</v>
      </c>
    </row>
    <row r="64" spans="1:13" ht="28.5" x14ac:dyDescent="0.45">
      <c r="A64" s="133"/>
      <c r="B64" s="146" t="s">
        <v>175</v>
      </c>
      <c r="C64" s="153"/>
      <c r="D64" s="146" t="s">
        <v>176</v>
      </c>
      <c r="E64" s="138"/>
      <c r="F64" s="138"/>
      <c r="G64" s="138"/>
      <c r="H64" s="138"/>
      <c r="I64" s="138"/>
      <c r="J64" s="138"/>
      <c r="K64" s="138">
        <f>K31+K63</f>
        <v>3236930</v>
      </c>
      <c r="L64" s="137"/>
      <c r="M64" s="138">
        <f>M31+M63</f>
        <v>970570</v>
      </c>
    </row>
    <row r="65" spans="1:13" x14ac:dyDescent="0.45">
      <c r="A65" s="133"/>
      <c r="B65" s="146"/>
      <c r="C65" s="153"/>
      <c r="D65" s="146"/>
      <c r="E65" s="138"/>
      <c r="F65" s="138"/>
      <c r="G65" s="138"/>
      <c r="H65" s="138"/>
      <c r="I65" s="138"/>
      <c r="J65" s="138"/>
      <c r="K65" s="138"/>
      <c r="L65" s="137"/>
      <c r="M65" s="138"/>
    </row>
    <row r="66" spans="1:13" x14ac:dyDescent="0.45">
      <c r="A66" s="186" t="s">
        <v>177</v>
      </c>
      <c r="B66" s="188"/>
      <c r="C66" s="191"/>
      <c r="D66" s="188"/>
      <c r="E66" s="189"/>
      <c r="F66" s="189"/>
      <c r="G66" s="189"/>
      <c r="H66" s="189"/>
      <c r="I66" s="189"/>
      <c r="J66" s="189"/>
      <c r="K66" s="189"/>
      <c r="L66" s="190"/>
      <c r="M66" s="189"/>
    </row>
    <row r="67" spans="1:13" ht="42.75" x14ac:dyDescent="0.45">
      <c r="A67" s="92"/>
      <c r="B67" s="154" t="s">
        <v>178</v>
      </c>
      <c r="C67" s="144"/>
      <c r="D67" s="144"/>
      <c r="E67" s="92"/>
      <c r="F67" s="92"/>
      <c r="G67" s="92"/>
      <c r="H67" s="92"/>
      <c r="I67" s="92"/>
      <c r="J67" s="92"/>
      <c r="K67" s="92"/>
      <c r="L67" s="92"/>
      <c r="M67" s="92"/>
    </row>
    <row r="68" spans="1:13" x14ac:dyDescent="0.45">
      <c r="A68" s="186"/>
      <c r="B68" s="187" t="s">
        <v>179</v>
      </c>
      <c r="C68" s="188"/>
      <c r="D68" s="188"/>
      <c r="E68" s="186"/>
      <c r="F68" s="186"/>
      <c r="G68" s="186"/>
      <c r="H68" s="186"/>
      <c r="I68" s="186"/>
      <c r="J68" s="186"/>
      <c r="K68" s="186"/>
      <c r="L68" s="186"/>
      <c r="M68" s="186"/>
    </row>
    <row r="69" spans="1:13" ht="42.75" x14ac:dyDescent="0.45">
      <c r="A69" s="92"/>
      <c r="B69" s="154" t="s">
        <v>180</v>
      </c>
      <c r="C69" s="144"/>
      <c r="D69" s="144"/>
      <c r="E69" s="92"/>
      <c r="F69" s="92"/>
      <c r="G69" s="92"/>
      <c r="H69" s="92"/>
      <c r="I69" s="92"/>
      <c r="J69" s="92"/>
      <c r="K69" s="92"/>
      <c r="L69" s="92"/>
      <c r="M69" s="92"/>
    </row>
    <row r="70" spans="1:13" ht="42.75" x14ac:dyDescent="0.45">
      <c r="A70" s="92"/>
      <c r="B70" s="154" t="s">
        <v>181</v>
      </c>
      <c r="C70" s="144"/>
      <c r="D70" s="144"/>
      <c r="E70" s="92"/>
      <c r="F70" s="92"/>
      <c r="G70" s="92"/>
      <c r="H70" s="92"/>
      <c r="I70" s="92"/>
      <c r="J70" s="92"/>
      <c r="K70" s="92"/>
      <c r="L70" s="92"/>
      <c r="M70" s="92"/>
    </row>
    <row r="71" spans="1:13" ht="42.75" x14ac:dyDescent="0.45">
      <c r="A71" s="92"/>
      <c r="B71" s="154" t="s">
        <v>182</v>
      </c>
      <c r="C71" s="144"/>
      <c r="D71" s="144"/>
      <c r="E71" s="92"/>
      <c r="F71" s="92"/>
      <c r="G71" s="92"/>
      <c r="H71" s="92"/>
      <c r="I71" s="92"/>
      <c r="J71" s="92"/>
      <c r="K71" s="92"/>
      <c r="L71" s="92"/>
      <c r="M71" s="92"/>
    </row>
    <row r="72" spans="1:13" ht="42.75" x14ac:dyDescent="0.45">
      <c r="A72" s="92"/>
      <c r="B72" s="154" t="s">
        <v>183</v>
      </c>
      <c r="C72" s="144"/>
      <c r="D72" s="144"/>
      <c r="E72" s="92"/>
      <c r="F72" s="92"/>
      <c r="G72" s="92"/>
      <c r="H72" s="92"/>
      <c r="I72" s="92"/>
      <c r="J72" s="92"/>
      <c r="K72" s="92"/>
      <c r="L72" s="92"/>
      <c r="M72" s="92"/>
    </row>
    <row r="73" spans="1:13" x14ac:dyDescent="0.45">
      <c r="A73" s="92"/>
      <c r="B73" s="154"/>
      <c r="C73" s="144"/>
      <c r="D73" s="144"/>
      <c r="E73" s="92"/>
      <c r="F73" s="92"/>
      <c r="G73" s="92"/>
      <c r="H73" s="92"/>
      <c r="I73" s="92"/>
      <c r="J73" s="92"/>
      <c r="K73" s="92"/>
      <c r="L73" s="92"/>
      <c r="M73" s="92"/>
    </row>
    <row r="74" spans="1:13" x14ac:dyDescent="0.45">
      <c r="A74" s="92"/>
      <c r="B74" s="154"/>
      <c r="C74" s="144"/>
      <c r="D74" s="144"/>
      <c r="E74" s="92"/>
      <c r="F74" s="92"/>
      <c r="G74" s="92"/>
      <c r="H74" s="92"/>
      <c r="I74" s="92"/>
      <c r="J74" s="92"/>
      <c r="K74" s="92"/>
      <c r="L74" s="92"/>
      <c r="M74" s="92"/>
    </row>
    <row r="75" spans="1:13" x14ac:dyDescent="0.45">
      <c r="A75" s="92"/>
      <c r="B75" s="144"/>
      <c r="C75" s="144"/>
      <c r="D75" s="144"/>
      <c r="E75" s="92"/>
      <c r="F75" s="92"/>
      <c r="G75" s="92"/>
      <c r="H75" s="92"/>
      <c r="I75" s="92"/>
      <c r="J75" s="92"/>
      <c r="K75" s="92"/>
      <c r="L75" s="92"/>
      <c r="M75" s="92"/>
    </row>
    <row r="76" spans="1:13" x14ac:dyDescent="0.45">
      <c r="A76" s="92"/>
      <c r="B76" s="144"/>
      <c r="C76" s="144"/>
      <c r="D76" s="144"/>
      <c r="E76" s="92"/>
      <c r="F76" s="92"/>
      <c r="G76" s="92"/>
      <c r="H76" s="92"/>
      <c r="I76" s="92"/>
      <c r="J76" s="92"/>
      <c r="K76" s="92"/>
      <c r="L76" s="92"/>
      <c r="M76" s="92"/>
    </row>
    <row r="77" spans="1:13" x14ac:dyDescent="0.45">
      <c r="A77" s="92"/>
      <c r="B77" s="144"/>
      <c r="C77" s="144"/>
      <c r="D77" s="144"/>
      <c r="E77" s="92"/>
      <c r="F77" s="92"/>
      <c r="G77" s="92"/>
      <c r="H77" s="92"/>
      <c r="I77" s="92"/>
      <c r="J77" s="92"/>
      <c r="K77" s="92"/>
      <c r="L77" s="92"/>
      <c r="M77" s="92"/>
    </row>
    <row r="78" spans="1:13" x14ac:dyDescent="0.45">
      <c r="A78" s="92"/>
      <c r="B78" s="144"/>
      <c r="C78" s="144"/>
      <c r="D78" s="144"/>
      <c r="E78" s="92"/>
      <c r="F78" s="92"/>
      <c r="G78" s="92"/>
      <c r="H78" s="92"/>
      <c r="I78" s="92"/>
      <c r="J78" s="92"/>
      <c r="K78" s="92"/>
      <c r="L78" s="92"/>
      <c r="M78" s="92"/>
    </row>
    <row r="79" spans="1:13" x14ac:dyDescent="0.45">
      <c r="A79" s="92"/>
      <c r="B79" s="144"/>
      <c r="C79" s="144"/>
      <c r="D79" s="144"/>
      <c r="E79" s="92"/>
      <c r="F79" s="92"/>
      <c r="G79" s="92"/>
      <c r="H79" s="92"/>
      <c r="I79" s="92"/>
      <c r="J79" s="92"/>
      <c r="K79" s="92"/>
      <c r="L79" s="92"/>
      <c r="M79" s="92"/>
    </row>
    <row r="80" spans="1:13" x14ac:dyDescent="0.45">
      <c r="A80" s="92"/>
      <c r="B80" s="144"/>
      <c r="C80" s="144"/>
      <c r="D80" s="144"/>
      <c r="E80" s="92"/>
      <c r="F80" s="92"/>
      <c r="G80" s="92"/>
      <c r="H80" s="92"/>
      <c r="I80" s="92"/>
      <c r="J80" s="92"/>
      <c r="K80" s="92"/>
      <c r="L80" s="92"/>
      <c r="M80" s="92"/>
    </row>
  </sheetData>
  <mergeCells count="15">
    <mergeCell ref="C21:D21"/>
    <mergeCell ref="C22:D22"/>
    <mergeCell ref="A2:M2"/>
    <mergeCell ref="A4:M4"/>
    <mergeCell ref="B1:M1"/>
    <mergeCell ref="B17:D17"/>
    <mergeCell ref="C18:D18"/>
    <mergeCell ref="C19:D19"/>
    <mergeCell ref="C20:D20"/>
    <mergeCell ref="A34:M34"/>
    <mergeCell ref="A68:M68"/>
    <mergeCell ref="A33:M33"/>
    <mergeCell ref="A66:M66"/>
    <mergeCell ref="B23:D23"/>
    <mergeCell ref="B24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MVP</vt:lpstr>
      <vt:lpstr>Beta</vt:lpstr>
      <vt:lpstr>R_1.0</vt:lpstr>
      <vt:lpstr>Growth_Phase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2026-06-09T07:16:27Z</dcterms:modified>
</cp:coreProperties>
</file>